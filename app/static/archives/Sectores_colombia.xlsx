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TOS" sheetId="1" state="visible" r:id="rId3"/>
    <sheet name="RESUMEN POR SECTOR" sheetId="2" state="visible" r:id="rId4"/>
    <sheet name="REFERENCIA SMMLV" sheetId="3" state="visible" r:id="rId5"/>
    <sheet name="GLOSARIO" sheetId="4" state="visible" r:id="rId6"/>
  </sheets>
  <definedNames>
    <definedName function="false" hidden="true" localSheetId="0" name="_xlnm._FilterDatabase" vbProcedure="false">'BASE DE DATOS'!$A$3:$N$170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<sst xmlns="http://schemas.openxmlformats.org/spreadsheetml/2006/main" count="939" uniqueCount="330">
  <si>
    <t xml:space="preserve">CLASIFICACIÓN LABORAL COLOMBIA 2025 – SECTORES, CATEGORÍAS, ESPECIALIDADES Y SALARIOS</t>
  </si>
  <si>
    <t xml:space="preserve">Fuentes: DANE · SENA · Min. Trabajo · DAFP · Minciencias · Min. Salud · CAMACOL · ACP · Asobancaria · OIT  |  SMMLV 2025: $1,423,500  |  Días/mes referencia: 30  |  Horas/mes referencia: 230</t>
  </si>
  <si>
    <t xml:space="preserve">SECTOR</t>
  </si>
  <si>
    <t xml:space="preserve">CÓDIGO CIIU / DIVISIÓN</t>
  </si>
  <si>
    <t xml:space="preserve">CATEGORÍA LABORAL</t>
  </si>
  <si>
    <t xml:space="preserve">ESPECIALIDAD / CARGO</t>
  </si>
  <si>
    <t xml:space="preserve">SALARIO MÍNIMO
(COP/Mes)</t>
  </si>
  <si>
    <t xml:space="preserve">SALARIO MÁXIMO
(COP/Mes)</t>
  </si>
  <si>
    <t xml:space="preserve">SALARIO PROMEDIO
(COP/Mes)</t>
  </si>
  <si>
    <t xml:space="preserve">VALOR DÍA
Mín (COP)</t>
  </si>
  <si>
    <t xml:space="preserve">VALOR DÍA
Máx (COP)</t>
  </si>
  <si>
    <t xml:space="preserve">VALOR DÍA
Prom (COP)</t>
  </si>
  <si>
    <t xml:space="preserve">VALOR HORA
Mín (COP)</t>
  </si>
  <si>
    <t xml:space="preserve">VALOR HORA
Máx (COP)</t>
  </si>
  <si>
    <t xml:space="preserve">VALOR HORA
Prom (COP)</t>
  </si>
  <si>
    <t xml:space="preserve">FUENTE</t>
  </si>
  <si>
    <t xml:space="preserve">Primario</t>
  </si>
  <si>
    <t xml:space="preserve">A – Agricultura, ganadería, caza, silvicultura</t>
  </si>
  <si>
    <t xml:space="preserve">Operativo / No calificado</t>
  </si>
  <si>
    <t xml:space="preserve">Jornalero Agrícola</t>
  </si>
  <si>
    <t xml:space="preserve">DANE/SENA/Min.Trabajo 2025</t>
  </si>
  <si>
    <t xml:space="preserve">Recolector de Café</t>
  </si>
  <si>
    <t xml:space="preserve">Cortero de Caña</t>
  </si>
  <si>
    <t xml:space="preserve">Técnico / Tecnólogo</t>
  </si>
  <si>
    <t xml:space="preserve">Técnico Agrícola</t>
  </si>
  <si>
    <t xml:space="preserve">DANE/SENA 2025</t>
  </si>
  <si>
    <t xml:space="preserve">Operador de Maquinaria Agrícola</t>
  </si>
  <si>
    <t xml:space="preserve">Tecnólogo en Producción Agropecuaria</t>
  </si>
  <si>
    <t xml:space="preserve">SENA 2025</t>
  </si>
  <si>
    <t xml:space="preserve">Profesional</t>
  </si>
  <si>
    <t xml:space="preserve">Ingeniero Agrónomo</t>
  </si>
  <si>
    <t xml:space="preserve">DANE/OIT 2025</t>
  </si>
  <si>
    <t xml:space="preserve">Administrador de Empresas Agropecuarias</t>
  </si>
  <si>
    <t xml:space="preserve">DANE 2025</t>
  </si>
  <si>
    <t xml:space="preserve">Especialista / Maestría</t>
  </si>
  <si>
    <t xml:space="preserve">Especialista en Agronegocios</t>
  </si>
  <si>
    <t xml:space="preserve">OIT/DANE 2025</t>
  </si>
  <si>
    <t xml:space="preserve">Directivo</t>
  </si>
  <si>
    <t xml:space="preserve">Gerente de Unidad Productiva Agrícola</t>
  </si>
  <si>
    <t xml:space="preserve">Min.Trabajo 2025</t>
  </si>
  <si>
    <t xml:space="preserve">Vaquero / Ordeñador</t>
  </si>
  <si>
    <t xml:space="preserve">Técnico Pecuario</t>
  </si>
  <si>
    <t xml:space="preserve">Médico Veterinario</t>
  </si>
  <si>
    <t xml:space="preserve">Zootecnista</t>
  </si>
  <si>
    <t xml:space="preserve">Técnico Forestal</t>
  </si>
  <si>
    <t xml:space="preserve">Ingeniero Forestal</t>
  </si>
  <si>
    <t xml:space="preserve">Pescador Artesanal</t>
  </si>
  <si>
    <t xml:space="preserve">Técnico en Acuicultura</t>
  </si>
  <si>
    <t xml:space="preserve">Biólogo Marino / Ictiólogo</t>
  </si>
  <si>
    <t xml:space="preserve">B – Explotación de minas y canteras</t>
  </si>
  <si>
    <t xml:space="preserve">Minero de Interior (Carbón/Oro)</t>
  </si>
  <si>
    <t xml:space="preserve">DANE/ANM 2025</t>
  </si>
  <si>
    <t xml:space="preserve">Operador de Retroexcavadora Minera</t>
  </si>
  <si>
    <t xml:space="preserve">Técnico en Minería</t>
  </si>
  <si>
    <t xml:space="preserve">Tecnólogo en Control Ambiental Minero</t>
  </si>
  <si>
    <t xml:space="preserve">Ingeniero de Minas</t>
  </si>
  <si>
    <t xml:space="preserve">Geólogo</t>
  </si>
  <si>
    <t xml:space="preserve">Especialista en Geomecánica</t>
  </si>
  <si>
    <t xml:space="preserve">OIT 2025</t>
  </si>
  <si>
    <t xml:space="preserve">Gerente de Operaciones Mineras</t>
  </si>
  <si>
    <t xml:space="preserve">Operador de Campo Petrolero</t>
  </si>
  <si>
    <t xml:space="preserve">ACP/DANE 2025</t>
  </si>
  <si>
    <t xml:space="preserve">Técnico en Instrumentación Petrolera</t>
  </si>
  <si>
    <t xml:space="preserve">Ingeniero de Petróleos</t>
  </si>
  <si>
    <t xml:space="preserve">ACP 2025</t>
  </si>
  <si>
    <t xml:space="preserve">Ingeniero de Reservorios</t>
  </si>
  <si>
    <t xml:space="preserve">Especialista en Yacimientos</t>
  </si>
  <si>
    <t xml:space="preserve">ACP/OIT 2025</t>
  </si>
  <si>
    <t xml:space="preserve">Superintendente de Operaciones Oil &amp; Gas</t>
  </si>
  <si>
    <t xml:space="preserve">Secundario</t>
  </si>
  <si>
    <t xml:space="preserve">C – Industrias manufactureras</t>
  </si>
  <si>
    <t xml:space="preserve">Operario de Planta (Alimentos)</t>
  </si>
  <si>
    <t xml:space="preserve">Auxiliar de Producción</t>
  </si>
  <si>
    <t xml:space="preserve">Técnico en Procesamiento de Alimentos</t>
  </si>
  <si>
    <t xml:space="preserve">Tecnólogo en Control de Calidad</t>
  </si>
  <si>
    <t xml:space="preserve">Ingeniero de Alimentos</t>
  </si>
  <si>
    <t xml:space="preserve">Ingeniero Industrial</t>
  </si>
  <si>
    <t xml:space="preserve">Especialista en Inocuidad Alimentaria</t>
  </si>
  <si>
    <t xml:space="preserve">Operario de Confección / Costurero</t>
  </si>
  <si>
    <t xml:space="preserve">DANE/ANDI 2025</t>
  </si>
  <si>
    <t xml:space="preserve">Técnico en Diseño de Modas</t>
  </si>
  <si>
    <t xml:space="preserve">Diseñador de Modas</t>
  </si>
  <si>
    <t xml:space="preserve">Técnico en Química Industrial</t>
  </si>
  <si>
    <t xml:space="preserve">Químico Farmacéutico</t>
  </si>
  <si>
    <t xml:space="preserve">Ingeniero Químico</t>
  </si>
  <si>
    <t xml:space="preserve">Especialista en Regulación Farmacéutica</t>
  </si>
  <si>
    <t xml:space="preserve">Soldador / Tornero</t>
  </si>
  <si>
    <t xml:space="preserve">Técnico en Metalmecánica</t>
  </si>
  <si>
    <t xml:space="preserve">Ingeniero Mecánico</t>
  </si>
  <si>
    <t xml:space="preserve">Gerente de Planta Industrial</t>
  </si>
  <si>
    <t xml:space="preserve">F – Construcción</t>
  </si>
  <si>
    <t xml:space="preserve">Oficial de Construcción</t>
  </si>
  <si>
    <t xml:space="preserve">CAMACOL/DANE 2025</t>
  </si>
  <si>
    <t xml:space="preserve">Ayudante de Construcción</t>
  </si>
  <si>
    <t xml:space="preserve">CAMACOL 2025</t>
  </si>
  <si>
    <t xml:space="preserve">Electricista Residencial</t>
  </si>
  <si>
    <t xml:space="preserve">Plomero / Fontanero</t>
  </si>
  <si>
    <t xml:space="preserve">Técnico en Construcción Civil</t>
  </si>
  <si>
    <t xml:space="preserve">Tecnólogo en Obras Civiles</t>
  </si>
  <si>
    <t xml:space="preserve">Arquitecto</t>
  </si>
  <si>
    <t xml:space="preserve">CPNAA/DANE 2025</t>
  </si>
  <si>
    <t xml:space="preserve">Ingeniero Civil</t>
  </si>
  <si>
    <t xml:space="preserve">Especialista en Estructuras</t>
  </si>
  <si>
    <t xml:space="preserve">Director de Obra / Project Manager</t>
  </si>
  <si>
    <t xml:space="preserve">D – Suministro de electricidad, gas, vapor</t>
  </si>
  <si>
    <t xml:space="preserve">Liniero / Operario de Redes Eléctricas</t>
  </si>
  <si>
    <t xml:space="preserve">DANE/CREG 2025</t>
  </si>
  <si>
    <t xml:space="preserve">Técnico en Electricidad Industrial</t>
  </si>
  <si>
    <t xml:space="preserve">Ingeniero Eléctrico</t>
  </si>
  <si>
    <t xml:space="preserve">Ingeniero de Energías Renovables</t>
  </si>
  <si>
    <t xml:space="preserve">Especialista en Sistemas de Potencia</t>
  </si>
  <si>
    <t xml:space="preserve">E – Suministro de agua; alcantarillado</t>
  </si>
  <si>
    <t xml:space="preserve">Operario de Planta de Tratamiento</t>
  </si>
  <si>
    <t xml:space="preserve">Técnico en Saneamiento Ambiental</t>
  </si>
  <si>
    <t xml:space="preserve">Ingeniero Ambiental</t>
  </si>
  <si>
    <t xml:space="preserve">Ingeniero Sanitario</t>
  </si>
  <si>
    <t xml:space="preserve">Terciario</t>
  </si>
  <si>
    <t xml:space="preserve">G – Comercio al por mayor y al por menor</t>
  </si>
  <si>
    <t xml:space="preserve">Vendedor / Asesor Comercial</t>
  </si>
  <si>
    <t xml:space="preserve">Cajero Comercial</t>
  </si>
  <si>
    <t xml:space="preserve">Tecnólogo en Gestión Comercial</t>
  </si>
  <si>
    <t xml:space="preserve">Administrador de Empresas (Comercio)</t>
  </si>
  <si>
    <t xml:space="preserve">Especialista en Mercadeo</t>
  </si>
  <si>
    <t xml:space="preserve">Gerente Comercial / de Ventas</t>
  </si>
  <si>
    <t xml:space="preserve">H – Transporte y almacenamiento</t>
  </si>
  <si>
    <t xml:space="preserve">Conductor de Bus Intermunicipal</t>
  </si>
  <si>
    <t xml:space="preserve">Conductor de Taxi / App</t>
  </si>
  <si>
    <t xml:space="preserve">Operario de Bodega / Cargue</t>
  </si>
  <si>
    <t xml:space="preserve">Técnico en Logística y Distribución</t>
  </si>
  <si>
    <t xml:space="preserve">Ingeniero de Transporte y Vías</t>
  </si>
  <si>
    <t xml:space="preserve">Profesional en Logística Internacional</t>
  </si>
  <si>
    <t xml:space="preserve">Especialista en Supply Chain</t>
  </si>
  <si>
    <t xml:space="preserve">Gerente de Logística</t>
  </si>
  <si>
    <t xml:space="preserve">I – Alojamiento y servicios de comida</t>
  </si>
  <si>
    <t xml:space="preserve">Mesero / Camarero</t>
  </si>
  <si>
    <t xml:space="preserve">DANE/Cotelco 2025</t>
  </si>
  <si>
    <t xml:space="preserve">Cocinero / Auxiliar de Cocina</t>
  </si>
  <si>
    <t xml:space="preserve">Técnico en Cocina / Chef Técnico</t>
  </si>
  <si>
    <t xml:space="preserve">Técnico en Gestión Hotelera</t>
  </si>
  <si>
    <t xml:space="preserve">Administrador de Turismo</t>
  </si>
  <si>
    <t xml:space="preserve">Chef Ejecutivo</t>
  </si>
  <si>
    <t xml:space="preserve">Cotelco 2025</t>
  </si>
  <si>
    <t xml:space="preserve">Gerente de Hotel</t>
  </si>
  <si>
    <t xml:space="preserve">Cotelco/Min.Trabajo 2025</t>
  </si>
  <si>
    <t xml:space="preserve">J – Información y comunicaciones (medios)</t>
  </si>
  <si>
    <t xml:space="preserve">Operador de Call Center</t>
  </si>
  <si>
    <t xml:space="preserve">Técnico en Producción Audiovisual</t>
  </si>
  <si>
    <t xml:space="preserve">Comunicador Social / Periodista</t>
  </si>
  <si>
    <t xml:space="preserve">Publicista / Community Manager</t>
  </si>
  <si>
    <t xml:space="preserve">K – Actividades financieras y de seguros</t>
  </si>
  <si>
    <t xml:space="preserve">Cajero Bancario</t>
  </si>
  <si>
    <t xml:space="preserve">DANE/Asobancaria 2025</t>
  </si>
  <si>
    <t xml:space="preserve">Tecnólogo en Finanzas</t>
  </si>
  <si>
    <t xml:space="preserve">Contador Público</t>
  </si>
  <si>
    <t xml:space="preserve">Economista</t>
  </si>
  <si>
    <t xml:space="preserve">Analista Financiero</t>
  </si>
  <si>
    <t xml:space="preserve">Actuario</t>
  </si>
  <si>
    <t xml:space="preserve">Especialista en Finanzas Corporativas</t>
  </si>
  <si>
    <t xml:space="preserve">Gerente Financiero / CFO</t>
  </si>
  <si>
    <t xml:space="preserve">L – Actividades inmobiliarias</t>
  </si>
  <si>
    <t xml:space="preserve">Valuador / Avaluador de Bienes Raíces</t>
  </si>
  <si>
    <t xml:space="preserve">Agente Inmobiliario</t>
  </si>
  <si>
    <t xml:space="preserve">O – Administración pública y defensa</t>
  </si>
  <si>
    <t xml:space="preserve">Auxiliar Administrativo (Empleo Público)</t>
  </si>
  <si>
    <t xml:space="preserve">DAFP/Min.Trabajo 2025</t>
  </si>
  <si>
    <t xml:space="preserve">Técnico Administrativo (Grado 14-16)</t>
  </si>
  <si>
    <t xml:space="preserve">DAFP 2025</t>
  </si>
  <si>
    <t xml:space="preserve">Profesional Universitario (Grado 18-24)</t>
  </si>
  <si>
    <t xml:space="preserve">Abogado – Asesor Jurídico Público</t>
  </si>
  <si>
    <t xml:space="preserve">Especialista Grado 26-28 (Empleo Público)</t>
  </si>
  <si>
    <t xml:space="preserve">Directivo Grado 21-22 (Gerente Público)</t>
  </si>
  <si>
    <t xml:space="preserve">Viceministro / Director General</t>
  </si>
  <si>
    <t xml:space="preserve">P – Educación</t>
  </si>
  <si>
    <t xml:space="preserve">Monitor / Auxiliar Pedagógico</t>
  </si>
  <si>
    <t xml:space="preserve">DANE/MEN 2025</t>
  </si>
  <si>
    <t xml:space="preserve">Técnico en Instrucción</t>
  </si>
  <si>
    <t xml:space="preserve">Docente de Educación Básica/Media (Est. Privado)</t>
  </si>
  <si>
    <t xml:space="preserve">MEN 2025</t>
  </si>
  <si>
    <t xml:space="preserve">Docente Oficial (Escalafón 2B-13)</t>
  </si>
  <si>
    <t xml:space="preserve">MEN/Decreto 1278 2025</t>
  </si>
  <si>
    <t xml:space="preserve">Docente Universitario (Catedrático)</t>
  </si>
  <si>
    <t xml:space="preserve">Docente Universitario (Tiempo Completo)</t>
  </si>
  <si>
    <t xml:space="preserve">Rector de Colegio Privado</t>
  </si>
  <si>
    <t xml:space="preserve">Rector de Universidad Pública</t>
  </si>
  <si>
    <t xml:space="preserve">MEN/DAFP 2025</t>
  </si>
  <si>
    <t xml:space="preserve">Q – Actividades de atención de la salud</t>
  </si>
  <si>
    <t xml:space="preserve">Auxiliar de Enfermería</t>
  </si>
  <si>
    <t xml:space="preserve">DANE/Min.Salud 2025</t>
  </si>
  <si>
    <t xml:space="preserve">Técnico en Salud Oral</t>
  </si>
  <si>
    <t xml:space="preserve">Bacteriólogo</t>
  </si>
  <si>
    <t xml:space="preserve">Enfermero(a) Profesional</t>
  </si>
  <si>
    <t xml:space="preserve">Fisioterapeuta</t>
  </si>
  <si>
    <t xml:space="preserve">Odontólogo</t>
  </si>
  <si>
    <t xml:space="preserve">Médico General</t>
  </si>
  <si>
    <t xml:space="preserve">Médico Especialista (Cirujano, Cardiólogo, etc.)</t>
  </si>
  <si>
    <t xml:space="preserve">Min.Salud 2025</t>
  </si>
  <si>
    <t xml:space="preserve">Psicólogo Clínico</t>
  </si>
  <si>
    <t xml:space="preserve">Director Médico / Gerente IPS</t>
  </si>
  <si>
    <t xml:space="preserve">R – Actividades artísticas, entretenimiento</t>
  </si>
  <si>
    <t xml:space="preserve">Artista / Músico Independiente</t>
  </si>
  <si>
    <t xml:space="preserve">Diseñador Gráfico</t>
  </si>
  <si>
    <t xml:space="preserve">S – Otras actividades de servicios</t>
  </si>
  <si>
    <t xml:space="preserve">Empleado Doméstico</t>
  </si>
  <si>
    <t xml:space="preserve">Peluquero / Estilista</t>
  </si>
  <si>
    <t xml:space="preserve">Técnico en Seguridad y Salud en el Trabajo</t>
  </si>
  <si>
    <t xml:space="preserve">Especialista en SST / HSEQ</t>
  </si>
  <si>
    <t xml:space="preserve">Cuaternario</t>
  </si>
  <si>
    <t xml:space="preserve">J – TIC: Desarrollo de software y tecnología</t>
  </si>
  <si>
    <t xml:space="preserve">Soporte Técnico / Help Desk</t>
  </si>
  <si>
    <t xml:space="preserve">SENA/Min.TIC 2025</t>
  </si>
  <si>
    <t xml:space="preserve">Técnico en Sistemas</t>
  </si>
  <si>
    <t xml:space="preserve">Desarrollador de Software Junior</t>
  </si>
  <si>
    <t xml:space="preserve">Min.TIC/Stack Overflow 2025</t>
  </si>
  <si>
    <t xml:space="preserve">Desarrollador de Software Semi-Senior</t>
  </si>
  <si>
    <t xml:space="preserve">Min.TIC 2025</t>
  </si>
  <si>
    <t xml:space="preserve">Desarrollador de Software Senior</t>
  </si>
  <si>
    <t xml:space="preserve">Ingeniero DevOps / Cloud</t>
  </si>
  <si>
    <t xml:space="preserve">Desarrollador Full-Stack Senior</t>
  </si>
  <si>
    <t xml:space="preserve">Arquitecto de Software</t>
  </si>
  <si>
    <t xml:space="preserve">Data Scientist / ML Engineer</t>
  </si>
  <si>
    <t xml:space="preserve">Min.TIC/OIT 2025</t>
  </si>
  <si>
    <t xml:space="preserve">Ingeniero de Inteligencia Artificial</t>
  </si>
  <si>
    <t xml:space="preserve">CTO / Gerente de Tecnología</t>
  </si>
  <si>
    <t xml:space="preserve">J – TIC: Telecomunicaciones</t>
  </si>
  <si>
    <t xml:space="preserve">Técnico en Telecomunicaciones</t>
  </si>
  <si>
    <t xml:space="preserve">Ingeniero de Telecomunicaciones</t>
  </si>
  <si>
    <t xml:space="preserve">Ingeniero de Redes / Infraestructura</t>
  </si>
  <si>
    <t xml:space="preserve">Especialista en Seguridad Informática</t>
  </si>
  <si>
    <t xml:space="preserve">M – Act. científicas y técnicas (I+D)</t>
  </si>
  <si>
    <t xml:space="preserve">Asistente de Investigación</t>
  </si>
  <si>
    <t xml:space="preserve">Minciencias 2025</t>
  </si>
  <si>
    <t xml:space="preserve">Investigador Junior</t>
  </si>
  <si>
    <t xml:space="preserve">Investigador Asociado (PhD/Maestría)</t>
  </si>
  <si>
    <t xml:space="preserve">Científico de Datos Senior</t>
  </si>
  <si>
    <t xml:space="preserve">Minciencias/OIT 2025</t>
  </si>
  <si>
    <t xml:space="preserve">Director de I+D</t>
  </si>
  <si>
    <t xml:space="preserve">M – Act. científicas y técnicas (consultoría)</t>
  </si>
  <si>
    <t xml:space="preserve">Consultor Junior</t>
  </si>
  <si>
    <t xml:space="preserve">Consultor Senior</t>
  </si>
  <si>
    <t xml:space="preserve">Gerente de Proyecto / PMO</t>
  </si>
  <si>
    <t xml:space="preserve">PMI/DANE 2025</t>
  </si>
  <si>
    <t xml:space="preserve">Socio / Partner de Consultoría</t>
  </si>
  <si>
    <t xml:space="preserve">K – FinTech / Banca Digital</t>
  </si>
  <si>
    <t xml:space="preserve">Analista de Riesgos Digitales</t>
  </si>
  <si>
    <t xml:space="preserve">Asobancaria 2025</t>
  </si>
  <si>
    <t xml:space="preserve">Desarrollador Blockchain</t>
  </si>
  <si>
    <t xml:space="preserve">Especialista en Ciberseguridad Financiera</t>
  </si>
  <si>
    <t xml:space="preserve">Asobancaria/OIT 2025</t>
  </si>
  <si>
    <t xml:space="preserve">Director de Transformación Digital</t>
  </si>
  <si>
    <t xml:space="preserve">J – TIC: Diseño digital y experiencia</t>
  </si>
  <si>
    <t xml:space="preserve">UX/UI Designer Junior</t>
  </si>
  <si>
    <t xml:space="preserve">DANE/Min.TIC 2025</t>
  </si>
  <si>
    <t xml:space="preserve">UX/UI Designer Senior</t>
  </si>
  <si>
    <t xml:space="preserve">Product Manager / Product Owner</t>
  </si>
  <si>
    <t xml:space="preserve">RESUMEN SALARIAL POR SECTOR – COLOMBIA 2025</t>
  </si>
  <si>
    <t xml:space="preserve"># ESPECIALIDADES</t>
  </si>
  <si>
    <t xml:space="preserve">SAL. MÍN PROMEDIO
(COP/Mes)</t>
  </si>
  <si>
    <t xml:space="preserve">SAL. MÁX PROMEDIO
(COP/Mes)</t>
  </si>
  <si>
    <t xml:space="preserve">SAL. PROMEDIO GENERAL
(COP/Mes)</t>
  </si>
  <si>
    <t xml:space="preserve">VALOR DÍA PROM.
(COP)</t>
  </si>
  <si>
    <t xml:space="preserve">VALOR HORA PROM.
(COP)</t>
  </si>
  <si>
    <t xml:space="preserve">COLOR REFERENCIA</t>
  </si>
  <si>
    <t xml:space="preserve">Agropecuario y Extractivo (A, B)</t>
  </si>
  <si>
    <t xml:space="preserve">Industrial y Transformación (C, D, E, F)</t>
  </si>
  <si>
    <t xml:space="preserve">Servicios (G-S)</t>
  </si>
  <si>
    <t xml:space="preserve">Tecnología e Innovación (J, M, K-TIC)</t>
  </si>
  <si>
    <t xml:space="preserve">REFERENCIA SALARIO MÍNIMO LEGAL MENSUAL VIGENTE (SMMLV) – COLOMBIA</t>
  </si>
  <si>
    <t xml:space="preserve">Año</t>
  </si>
  <si>
    <t xml:space="preserve">SMMLV (COP/Mes)</t>
  </si>
  <si>
    <t xml:space="preserve">Auxilio Transporte</t>
  </si>
  <si>
    <t xml:space="preserve">Incremento %</t>
  </si>
  <si>
    <t xml:space="preserve">6.00%</t>
  </si>
  <si>
    <t xml:space="preserve">3.50%</t>
  </si>
  <si>
    <t xml:space="preserve">10.07%</t>
  </si>
  <si>
    <t xml:space="preserve">16.00%</t>
  </si>
  <si>
    <t xml:space="preserve">12.07%</t>
  </si>
  <si>
    <t xml:space="preserve">9.50%</t>
  </si>
  <si>
    <t xml:space="preserve">PARÁMETROS DE CÁLCULO USADOS EN ESTE ARCHIVO</t>
  </si>
  <si>
    <t xml:space="preserve">Días por mes (referencia)</t>
  </si>
  <si>
    <t xml:space="preserve">30 días calendario</t>
  </si>
  <si>
    <t xml:space="preserve">Horas por mes (referencia)</t>
  </si>
  <si>
    <t xml:space="preserve">46 h/semana × 5 sem. (transitorio Ley 2101/2021)</t>
  </si>
  <si>
    <t xml:space="preserve">Horas semana vigentes 2025</t>
  </si>
  <si>
    <t xml:space="preserve">Reducción progresiva hasta 42 h en 2026</t>
  </si>
  <si>
    <t xml:space="preserve">GLOSARIO DE CATEGORÍAS LABORALES (Empleo Público y Privado – Colombia)</t>
  </si>
  <si>
    <t xml:space="preserve">CATEGORÍA</t>
  </si>
  <si>
    <t xml:space="preserve">DESCRIPCIÓN</t>
  </si>
  <si>
    <t xml:space="preserve">NIVEL EDUCATIVO TÍPICO</t>
  </si>
  <si>
    <t xml:space="preserve">Cargos de ejecución básica, labores manuales o de apoyo sin formación técnica requerida</t>
  </si>
  <si>
    <t xml:space="preserve">Bachillerato o primaria</t>
  </si>
  <si>
    <t xml:space="preserve">Cargos que requieren formación técnica o tecnológica certificada por el SENA u otra IES</t>
  </si>
  <si>
    <t xml:space="preserve">Técnico SENA / Tecnólogo</t>
  </si>
  <si>
    <t xml:space="preserve">Cargos que exigen título universitario de pregrado (5 años aprox.)</t>
  </si>
  <si>
    <t xml:space="preserve">Profesional universitario</t>
  </si>
  <si>
    <t xml:space="preserve">Cargos con posgrado: especialización, maestría o doctorado</t>
  </si>
  <si>
    <t xml:space="preserve">Especialización / Maestría / PhD</t>
  </si>
  <si>
    <t xml:space="preserve">Cargos de alta dirección, gerencia o gobierno corporativo</t>
  </si>
  <si>
    <t xml:space="preserve">Pregrado + experiencia / Posgrado</t>
  </si>
  <si>
    <t xml:space="preserve">DANE</t>
  </si>
  <si>
    <t xml:space="preserve">Departamento Administrativo Nacional de Estadística – GEIH 2024/2025</t>
  </si>
  <si>
    <t xml:space="preserve">SENA</t>
  </si>
  <si>
    <t xml:space="preserve">Servicio Nacional de Aprendizaje – tarifas y perfiles ocupacionales</t>
  </si>
  <si>
    <t xml:space="preserve">Min.Trabajo</t>
  </si>
  <si>
    <t xml:space="preserve">Ministerio del Trabajo – decretos salariales y laborales</t>
  </si>
  <si>
    <t xml:space="preserve">DAFP</t>
  </si>
  <si>
    <t xml:space="preserve">Departamento Administrativo de la Función Pública – escalas salariales empleo público</t>
  </si>
  <si>
    <t xml:space="preserve">Minciencias</t>
  </si>
  <si>
    <t xml:space="preserve">Ministerio de Ciencias – convocatorias y salarios investigadores</t>
  </si>
  <si>
    <t xml:space="preserve">CAMACOL</t>
  </si>
  <si>
    <t xml:space="preserve">Cámara Colombiana de la Construcción</t>
  </si>
  <si>
    <t xml:space="preserve">ACP</t>
  </si>
  <si>
    <t xml:space="preserve">Asociación Colombiana del Petróleo</t>
  </si>
  <si>
    <t xml:space="preserve">Asobancaria</t>
  </si>
  <si>
    <t xml:space="preserve">Asociación Bancaria y de Entidades Financieras de Colombia</t>
  </si>
  <si>
    <t xml:space="preserve">OIT</t>
  </si>
  <si>
    <t xml:space="preserve">Organización Internacional del Trabajo – encuestas regionales</t>
  </si>
  <si>
    <t xml:space="preserve">MEN</t>
  </si>
  <si>
    <t xml:space="preserve">Ministerio de Educación Nacional – escalafón docente</t>
  </si>
  <si>
    <t xml:space="preserve">Min.Salud</t>
  </si>
  <si>
    <t xml:space="preserve">Ministerio de Salud y Protección Social</t>
  </si>
  <si>
    <t xml:space="preserve">Min.TIC</t>
  </si>
  <si>
    <t xml:space="preserve">Ministerio de las TIC – Observatorio TI</t>
  </si>
  <si>
    <t xml:space="preserve">CREG</t>
  </si>
  <si>
    <t xml:space="preserve">Comisión de Regulación de Energía y Gas</t>
  </si>
  <si>
    <t xml:space="preserve">PMI</t>
  </si>
  <si>
    <t xml:space="preserve">Project Management Institute</t>
  </si>
  <si>
    <t xml:space="preserve">ANM</t>
  </si>
  <si>
    <t xml:space="preserve">Agencia Nacional Minera</t>
  </si>
  <si>
    <t xml:space="preserve">Cotelco</t>
  </si>
  <si>
    <t xml:space="preserve">Asociación Hotelera y Turística de Colombia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</si>
</sst>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6B3C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C2951"/>
        <bgColor rgb="FF333399"/>
      </patternFill>
    </fill>
    <fill>
      <patternFill patternType="solid">
        <fgColor rgb="FFEEF2FF"/>
        <bgColor rgb="FFF5F5F5"/>
      </patternFill>
    </fill>
    <fill>
      <patternFill patternType="solid">
        <fgColor rgb="FFF5F5F5"/>
        <bgColor rgb="FFEEF2FF"/>
      </patternFill>
    </fill>
    <fill>
      <patternFill patternType="solid">
        <fgColor rgb="FFFFFFFF"/>
        <bgColor rgb="FFF5F5F5"/>
      </patternFill>
    </fill>
    <fill>
      <patternFill patternType="solid">
        <fgColor rgb="FF1A6B3C"/>
        <bgColor rgb="FF008080"/>
      </patternFill>
    </fill>
    <fill>
      <patternFill patternType="solid">
        <fgColor rgb="FF1565C0"/>
        <bgColor rgb="FF3366FF"/>
      </patternFill>
    </fill>
    <fill>
      <patternFill patternType="solid">
        <fgColor rgb="FFE65100"/>
        <bgColor rgb="FF993300"/>
      </patternFill>
    </fill>
    <fill>
      <patternFill patternType="solid">
        <fgColor rgb="FF6A1B9A"/>
        <bgColor rgb="FF800080"/>
      </patternFill>
    </fill>
    <fill>
      <patternFill patternType="solid">
        <fgColor rgb="FFE8F5E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C2951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1A6B3C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6A1B9A"/>
      <rgbColor rgb="FF008080"/>
      <rgbColor rgb="FFCCCCCC"/>
      <rgbColor rgb="FF808080"/>
      <rgbColor rgb="FF9999FF"/>
      <rgbColor rgb="FF993366"/>
      <rgbColor rgb="FFF5F5F5"/>
      <rgbColor rgb="FFE8F5E9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C2951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18"/>
    <col collapsed="false" customWidth="true" hidden="false" outlineLevel="0" max="10" min="8" style="0" width="14"/>
    <col collapsed="false" customWidth="true" hidden="false" outlineLevel="0" max="13" min="11" style="0" width="12"/>
    <col collapsed="false" customWidth="true" hidden="false" outlineLevel="0" max="14" min="14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15" hidden="false" customHeight="false" outlineLevel="0" collapsed="false">
      <c r="A4" s="4" t="s">
        <v>16</v>
      </c>
      <c r="B4" s="5" t="s">
        <v>17</v>
      </c>
      <c r="C4" s="5" t="s">
        <v>18</v>
      </c>
      <c r="D4" s="6" t="s">
        <v>19</v>
      </c>
      <c r="E4" s="7" t="n">
        <v>1423500</v>
      </c>
      <c r="F4" s="7" t="n">
        <v>1600000</v>
      </c>
      <c r="G4" s="7" t="n">
        <f aca="false">AVERAGE(E4,F4)</f>
        <v>1511750</v>
      </c>
      <c r="H4" s="7" t="n">
        <f aca="false">E4/30</f>
        <v>47450</v>
      </c>
      <c r="I4" s="7" t="n">
        <f aca="false">F4/30</f>
        <v>53333.3333333333</v>
      </c>
      <c r="J4" s="7" t="n">
        <f aca="false">AVERAGE(H4,I4)</f>
        <v>50391.6666666667</v>
      </c>
      <c r="K4" s="7" t="n">
        <f aca="false">E4/230</f>
        <v>6189.13043478261</v>
      </c>
      <c r="L4" s="7" t="n">
        <f aca="false">F4/230</f>
        <v>6956.52173913044</v>
      </c>
      <c r="M4" s="7" t="n">
        <f aca="false">AVERAGE(K4,L4)</f>
        <v>6572.82608695652</v>
      </c>
      <c r="N4" s="5" t="s">
        <v>20</v>
      </c>
    </row>
    <row r="5" customFormat="false" ht="15" hidden="false" customHeight="false" outlineLevel="0" collapsed="false">
      <c r="A5" s="8" t="s">
        <v>16</v>
      </c>
      <c r="B5" s="9" t="s">
        <v>17</v>
      </c>
      <c r="C5" s="9" t="s">
        <v>18</v>
      </c>
      <c r="D5" s="10" t="s">
        <v>21</v>
      </c>
      <c r="E5" s="11" t="n">
        <v>1423500</v>
      </c>
      <c r="F5" s="11" t="n">
        <v>1700000</v>
      </c>
      <c r="G5" s="11" t="n">
        <f aca="false">AVERAGE(E5,F5)</f>
        <v>1561750</v>
      </c>
      <c r="H5" s="11" t="n">
        <f aca="false">E5/30</f>
        <v>47450</v>
      </c>
      <c r="I5" s="11" t="n">
        <f aca="false">F5/30</f>
        <v>56666.6666666667</v>
      </c>
      <c r="J5" s="11" t="n">
        <f aca="false">AVERAGE(H5,I5)</f>
        <v>52058.3333333333</v>
      </c>
      <c r="K5" s="11" t="n">
        <f aca="false">E5/230</f>
        <v>6189.13043478261</v>
      </c>
      <c r="L5" s="11" t="n">
        <f aca="false">F5/230</f>
        <v>7391.30434782609</v>
      </c>
      <c r="M5" s="11" t="n">
        <f aca="false">AVERAGE(K5,L5)</f>
        <v>6790.21739130435</v>
      </c>
      <c r="N5" s="9" t="s">
        <v>20</v>
      </c>
    </row>
    <row r="6" customFormat="false" ht="15" hidden="false" customHeight="false" outlineLevel="0" collapsed="false">
      <c r="A6" s="4" t="s">
        <v>16</v>
      </c>
      <c r="B6" s="5" t="s">
        <v>17</v>
      </c>
      <c r="C6" s="5" t="s">
        <v>18</v>
      </c>
      <c r="D6" s="6" t="s">
        <v>22</v>
      </c>
      <c r="E6" s="7" t="n">
        <v>1423500</v>
      </c>
      <c r="F6" s="7" t="n">
        <v>1800000</v>
      </c>
      <c r="G6" s="7" t="n">
        <f aca="false">AVERAGE(E6,F6)</f>
        <v>1611750</v>
      </c>
      <c r="H6" s="7" t="n">
        <f aca="false">E6/30</f>
        <v>47450</v>
      </c>
      <c r="I6" s="7" t="n">
        <f aca="false">F6/30</f>
        <v>60000</v>
      </c>
      <c r="J6" s="7" t="n">
        <f aca="false">AVERAGE(H6,I6)</f>
        <v>53725</v>
      </c>
      <c r="K6" s="7" t="n">
        <f aca="false">E6/230</f>
        <v>6189.13043478261</v>
      </c>
      <c r="L6" s="7" t="n">
        <f aca="false">F6/230</f>
        <v>7826.08695652174</v>
      </c>
      <c r="M6" s="7" t="n">
        <f aca="false">AVERAGE(K6,L6)</f>
        <v>7007.60869565217</v>
      </c>
      <c r="N6" s="5" t="s">
        <v>20</v>
      </c>
    </row>
    <row r="7" customFormat="false" ht="15" hidden="false" customHeight="false" outlineLevel="0" collapsed="false">
      <c r="A7" s="8" t="s">
        <v>16</v>
      </c>
      <c r="B7" s="9" t="s">
        <v>17</v>
      </c>
      <c r="C7" s="9" t="s">
        <v>23</v>
      </c>
      <c r="D7" s="10" t="s">
        <v>24</v>
      </c>
      <c r="E7" s="11" t="n">
        <v>1700000</v>
      </c>
      <c r="F7" s="11" t="n">
        <v>2500000</v>
      </c>
      <c r="G7" s="11" t="n">
        <f aca="false">AVERAGE(E7,F7)</f>
        <v>2100000</v>
      </c>
      <c r="H7" s="11" t="n">
        <f aca="false">E7/30</f>
        <v>56666.6666666667</v>
      </c>
      <c r="I7" s="11" t="n">
        <f aca="false">F7/30</f>
        <v>83333.3333333333</v>
      </c>
      <c r="J7" s="11" t="n">
        <f aca="false">AVERAGE(H7,I7)</f>
        <v>70000</v>
      </c>
      <c r="K7" s="11" t="n">
        <f aca="false">E7/230</f>
        <v>7391.30434782609</v>
      </c>
      <c r="L7" s="11" t="n">
        <f aca="false">F7/230</f>
        <v>10869.5652173913</v>
      </c>
      <c r="M7" s="11" t="n">
        <f aca="false">AVERAGE(K7,L7)</f>
        <v>9130.4347826087</v>
      </c>
      <c r="N7" s="9" t="s">
        <v>25</v>
      </c>
    </row>
    <row r="8" customFormat="false" ht="15" hidden="false" customHeight="false" outlineLevel="0" collapsed="false">
      <c r="A8" s="4" t="s">
        <v>16</v>
      </c>
      <c r="B8" s="5" t="s">
        <v>17</v>
      </c>
      <c r="C8" s="5" t="s">
        <v>23</v>
      </c>
      <c r="D8" s="6" t="s">
        <v>26</v>
      </c>
      <c r="E8" s="7" t="n">
        <v>1700000</v>
      </c>
      <c r="F8" s="7" t="n">
        <v>2800000</v>
      </c>
      <c r="G8" s="7" t="n">
        <f aca="false">AVERAGE(E8,F8)</f>
        <v>2250000</v>
      </c>
      <c r="H8" s="7" t="n">
        <f aca="false">E8/30</f>
        <v>56666.6666666667</v>
      </c>
      <c r="I8" s="7" t="n">
        <f aca="false">F8/30</f>
        <v>93333.3333333333</v>
      </c>
      <c r="J8" s="7" t="n">
        <f aca="false">AVERAGE(H8,I8)</f>
        <v>75000</v>
      </c>
      <c r="K8" s="7" t="n">
        <f aca="false">E8/230</f>
        <v>7391.30434782609</v>
      </c>
      <c r="L8" s="7" t="n">
        <f aca="false">F8/230</f>
        <v>12173.9130434783</v>
      </c>
      <c r="M8" s="7" t="n">
        <f aca="false">AVERAGE(K8,L8)</f>
        <v>9782.60869565217</v>
      </c>
      <c r="N8" s="5" t="s">
        <v>25</v>
      </c>
    </row>
    <row r="9" customFormat="false" ht="15" hidden="false" customHeight="false" outlineLevel="0" collapsed="false">
      <c r="A9" s="8" t="s">
        <v>16</v>
      </c>
      <c r="B9" s="9" t="s">
        <v>17</v>
      </c>
      <c r="C9" s="9" t="s">
        <v>23</v>
      </c>
      <c r="D9" s="10" t="s">
        <v>27</v>
      </c>
      <c r="E9" s="11" t="n">
        <v>2000000</v>
      </c>
      <c r="F9" s="11" t="n">
        <v>3200000</v>
      </c>
      <c r="G9" s="11" t="n">
        <f aca="false">AVERAGE(E9,F9)</f>
        <v>2600000</v>
      </c>
      <c r="H9" s="11" t="n">
        <f aca="false">E9/30</f>
        <v>66666.6666666667</v>
      </c>
      <c r="I9" s="11" t="n">
        <f aca="false">F9/30</f>
        <v>106666.666666667</v>
      </c>
      <c r="J9" s="11" t="n">
        <f aca="false">AVERAGE(H9,I9)</f>
        <v>86666.6666666667</v>
      </c>
      <c r="K9" s="11" t="n">
        <f aca="false">E9/230</f>
        <v>8695.65217391304</v>
      </c>
      <c r="L9" s="11" t="n">
        <f aca="false">F9/230</f>
        <v>13913.0434782609</v>
      </c>
      <c r="M9" s="11" t="n">
        <f aca="false">AVERAGE(K9,L9)</f>
        <v>11304.347826087</v>
      </c>
      <c r="N9" s="9" t="s">
        <v>28</v>
      </c>
    </row>
    <row r="10" customFormat="false" ht="15" hidden="false" customHeight="false" outlineLevel="0" collapsed="false">
      <c r="A10" s="4" t="s">
        <v>16</v>
      </c>
      <c r="B10" s="5" t="s">
        <v>17</v>
      </c>
      <c r="C10" s="5" t="s">
        <v>29</v>
      </c>
      <c r="D10" s="6" t="s">
        <v>30</v>
      </c>
      <c r="E10" s="7" t="n">
        <v>3500000</v>
      </c>
      <c r="F10" s="7" t="n">
        <v>7000000</v>
      </c>
      <c r="G10" s="7" t="n">
        <f aca="false">AVERAGE(E10,F10)</f>
        <v>5250000</v>
      </c>
      <c r="H10" s="7" t="n">
        <f aca="false">E10/30</f>
        <v>116666.666666667</v>
      </c>
      <c r="I10" s="7" t="n">
        <f aca="false">F10/30</f>
        <v>233333.333333333</v>
      </c>
      <c r="J10" s="7" t="n">
        <f aca="false">AVERAGE(H10,I10)</f>
        <v>175000</v>
      </c>
      <c r="K10" s="7" t="n">
        <f aca="false">E10/230</f>
        <v>15217.3913043478</v>
      </c>
      <c r="L10" s="7" t="n">
        <f aca="false">F10/230</f>
        <v>30434.7826086957</v>
      </c>
      <c r="M10" s="7" t="n">
        <f aca="false">AVERAGE(K10,L10)</f>
        <v>22826.0869565217</v>
      </c>
      <c r="N10" s="5" t="s">
        <v>31</v>
      </c>
    </row>
    <row r="11" customFormat="false" ht="15" hidden="false" customHeight="false" outlineLevel="0" collapsed="false">
      <c r="A11" s="8" t="s">
        <v>16</v>
      </c>
      <c r="B11" s="9" t="s">
        <v>17</v>
      </c>
      <c r="C11" s="9" t="s">
        <v>29</v>
      </c>
      <c r="D11" s="10" t="s">
        <v>32</v>
      </c>
      <c r="E11" s="11" t="n">
        <v>3000000</v>
      </c>
      <c r="F11" s="11" t="n">
        <v>6000000</v>
      </c>
      <c r="G11" s="11" t="n">
        <f aca="false">AVERAGE(E11,F11)</f>
        <v>4500000</v>
      </c>
      <c r="H11" s="11" t="n">
        <f aca="false">E11/30</f>
        <v>100000</v>
      </c>
      <c r="I11" s="11" t="n">
        <f aca="false">F11/30</f>
        <v>200000</v>
      </c>
      <c r="J11" s="11" t="n">
        <f aca="false">AVERAGE(H11,I11)</f>
        <v>150000</v>
      </c>
      <c r="K11" s="11" t="n">
        <f aca="false">E11/230</f>
        <v>13043.4782608696</v>
      </c>
      <c r="L11" s="11" t="n">
        <f aca="false">F11/230</f>
        <v>26086.9565217391</v>
      </c>
      <c r="M11" s="11" t="n">
        <f aca="false">AVERAGE(K11,L11)</f>
        <v>19565.2173913043</v>
      </c>
      <c r="N11" s="9" t="s">
        <v>33</v>
      </c>
    </row>
    <row r="12" customFormat="false" ht="15" hidden="false" customHeight="false" outlineLevel="0" collapsed="false">
      <c r="A12" s="4" t="s">
        <v>16</v>
      </c>
      <c r="B12" s="5" t="s">
        <v>17</v>
      </c>
      <c r="C12" s="5" t="s">
        <v>34</v>
      </c>
      <c r="D12" s="6" t="s">
        <v>35</v>
      </c>
      <c r="E12" s="7" t="n">
        <v>7000000</v>
      </c>
      <c r="F12" s="7" t="n">
        <v>14000000</v>
      </c>
      <c r="G12" s="7" t="n">
        <f aca="false">AVERAGE(E12,F12)</f>
        <v>10500000</v>
      </c>
      <c r="H12" s="7" t="n">
        <f aca="false">E12/30</f>
        <v>233333.333333333</v>
      </c>
      <c r="I12" s="7" t="n">
        <f aca="false">F12/30</f>
        <v>466666.666666667</v>
      </c>
      <c r="J12" s="7" t="n">
        <f aca="false">AVERAGE(H12,I12)</f>
        <v>350000</v>
      </c>
      <c r="K12" s="7" t="n">
        <f aca="false">E12/230</f>
        <v>30434.7826086957</v>
      </c>
      <c r="L12" s="7" t="n">
        <f aca="false">F12/230</f>
        <v>60869.5652173913</v>
      </c>
      <c r="M12" s="7" t="n">
        <f aca="false">AVERAGE(K12,L12)</f>
        <v>45652.1739130435</v>
      </c>
      <c r="N12" s="5" t="s">
        <v>36</v>
      </c>
    </row>
    <row r="13" customFormat="false" ht="15" hidden="false" customHeight="false" outlineLevel="0" collapsed="false">
      <c r="A13" s="8" t="s">
        <v>16</v>
      </c>
      <c r="B13" s="9" t="s">
        <v>17</v>
      </c>
      <c r="C13" s="9" t="s">
        <v>37</v>
      </c>
      <c r="D13" s="10" t="s">
        <v>38</v>
      </c>
      <c r="E13" s="11" t="n">
        <v>8000000</v>
      </c>
      <c r="F13" s="11" t="n">
        <v>20000000</v>
      </c>
      <c r="G13" s="11" t="n">
        <f aca="false">AVERAGE(E13,F13)</f>
        <v>14000000</v>
      </c>
      <c r="H13" s="11" t="n">
        <f aca="false">E13/30</f>
        <v>266666.666666667</v>
      </c>
      <c r="I13" s="11" t="n">
        <f aca="false">F13/30</f>
        <v>666666.666666667</v>
      </c>
      <c r="J13" s="11" t="n">
        <f aca="false">AVERAGE(H13,I13)</f>
        <v>466666.666666667</v>
      </c>
      <c r="K13" s="11" t="n">
        <f aca="false">E13/230</f>
        <v>34782.6086956522</v>
      </c>
      <c r="L13" s="11" t="n">
        <f aca="false">F13/230</f>
        <v>86956.5217391304</v>
      </c>
      <c r="M13" s="11" t="n">
        <f aca="false">AVERAGE(K13,L13)</f>
        <v>60869.5652173913</v>
      </c>
      <c r="N13" s="9" t="s">
        <v>39</v>
      </c>
    </row>
    <row r="14" customFormat="false" ht="15" hidden="false" customHeight="false" outlineLevel="0" collapsed="false">
      <c r="A14" s="4" t="s">
        <v>16</v>
      </c>
      <c r="B14" s="5" t="s">
        <v>17</v>
      </c>
      <c r="C14" s="5" t="s">
        <v>18</v>
      </c>
      <c r="D14" s="6" t="s">
        <v>40</v>
      </c>
      <c r="E14" s="7" t="n">
        <v>1423500</v>
      </c>
      <c r="F14" s="7" t="n">
        <v>1700000</v>
      </c>
      <c r="G14" s="7" t="n">
        <f aca="false">AVERAGE(E14,F14)</f>
        <v>1561750</v>
      </c>
      <c r="H14" s="7" t="n">
        <f aca="false">E14/30</f>
        <v>47450</v>
      </c>
      <c r="I14" s="7" t="n">
        <f aca="false">F14/30</f>
        <v>56666.6666666667</v>
      </c>
      <c r="J14" s="7" t="n">
        <f aca="false">AVERAGE(H14,I14)</f>
        <v>52058.3333333333</v>
      </c>
      <c r="K14" s="7" t="n">
        <f aca="false">E14/230</f>
        <v>6189.13043478261</v>
      </c>
      <c r="L14" s="7" t="n">
        <f aca="false">F14/230</f>
        <v>7391.30434782609</v>
      </c>
      <c r="M14" s="7" t="n">
        <f aca="false">AVERAGE(K14,L14)</f>
        <v>6790.21739130435</v>
      </c>
      <c r="N14" s="5" t="s">
        <v>25</v>
      </c>
    </row>
    <row r="15" customFormat="false" ht="15" hidden="false" customHeight="false" outlineLevel="0" collapsed="false">
      <c r="A15" s="8" t="s">
        <v>16</v>
      </c>
      <c r="B15" s="9" t="s">
        <v>17</v>
      </c>
      <c r="C15" s="9" t="s">
        <v>23</v>
      </c>
      <c r="D15" s="10" t="s">
        <v>41</v>
      </c>
      <c r="E15" s="11" t="n">
        <v>1700000</v>
      </c>
      <c r="F15" s="11" t="n">
        <v>2800000</v>
      </c>
      <c r="G15" s="11" t="n">
        <f aca="false">AVERAGE(E15,F15)</f>
        <v>2250000</v>
      </c>
      <c r="H15" s="11" t="n">
        <f aca="false">E15/30</f>
        <v>56666.6666666667</v>
      </c>
      <c r="I15" s="11" t="n">
        <f aca="false">F15/30</f>
        <v>93333.3333333333</v>
      </c>
      <c r="J15" s="11" t="n">
        <f aca="false">AVERAGE(H15,I15)</f>
        <v>75000</v>
      </c>
      <c r="K15" s="11" t="n">
        <f aca="false">E15/230</f>
        <v>7391.30434782609</v>
      </c>
      <c r="L15" s="11" t="n">
        <f aca="false">F15/230</f>
        <v>12173.9130434783</v>
      </c>
      <c r="M15" s="11" t="n">
        <f aca="false">AVERAGE(K15,L15)</f>
        <v>9782.60869565217</v>
      </c>
      <c r="N15" s="9" t="s">
        <v>28</v>
      </c>
    </row>
    <row r="16" customFormat="false" ht="15" hidden="false" customHeight="false" outlineLevel="0" collapsed="false">
      <c r="A16" s="4" t="s">
        <v>16</v>
      </c>
      <c r="B16" s="5" t="s">
        <v>17</v>
      </c>
      <c r="C16" s="5" t="s">
        <v>29</v>
      </c>
      <c r="D16" s="6" t="s">
        <v>42</v>
      </c>
      <c r="E16" s="7" t="n">
        <v>3500000</v>
      </c>
      <c r="F16" s="7" t="n">
        <v>8000000</v>
      </c>
      <c r="G16" s="7" t="n">
        <f aca="false">AVERAGE(E16,F16)</f>
        <v>5750000</v>
      </c>
      <c r="H16" s="7" t="n">
        <f aca="false">E16/30</f>
        <v>116666.666666667</v>
      </c>
      <c r="I16" s="7" t="n">
        <f aca="false">F16/30</f>
        <v>266666.666666667</v>
      </c>
      <c r="J16" s="7" t="n">
        <f aca="false">AVERAGE(H16,I16)</f>
        <v>191666.666666667</v>
      </c>
      <c r="K16" s="7" t="n">
        <f aca="false">E16/230</f>
        <v>15217.3913043478</v>
      </c>
      <c r="L16" s="7" t="n">
        <f aca="false">F16/230</f>
        <v>34782.6086956522</v>
      </c>
      <c r="M16" s="7" t="n">
        <f aca="false">AVERAGE(K16,L16)</f>
        <v>25000</v>
      </c>
      <c r="N16" s="5" t="s">
        <v>33</v>
      </c>
    </row>
    <row r="17" customFormat="false" ht="15" hidden="false" customHeight="false" outlineLevel="0" collapsed="false">
      <c r="A17" s="8" t="s">
        <v>16</v>
      </c>
      <c r="B17" s="9" t="s">
        <v>17</v>
      </c>
      <c r="C17" s="9" t="s">
        <v>29</v>
      </c>
      <c r="D17" s="10" t="s">
        <v>43</v>
      </c>
      <c r="E17" s="11" t="n">
        <v>3200000</v>
      </c>
      <c r="F17" s="11" t="n">
        <v>7000000</v>
      </c>
      <c r="G17" s="11" t="n">
        <f aca="false">AVERAGE(E17,F17)</f>
        <v>5100000</v>
      </c>
      <c r="H17" s="11" t="n">
        <f aca="false">E17/30</f>
        <v>106666.666666667</v>
      </c>
      <c r="I17" s="11" t="n">
        <f aca="false">F17/30</f>
        <v>233333.333333333</v>
      </c>
      <c r="J17" s="11" t="n">
        <f aca="false">AVERAGE(H17,I17)</f>
        <v>170000</v>
      </c>
      <c r="K17" s="11" t="n">
        <f aca="false">E17/230</f>
        <v>13913.0434782609</v>
      </c>
      <c r="L17" s="11" t="n">
        <f aca="false">F17/230</f>
        <v>30434.7826086957</v>
      </c>
      <c r="M17" s="11" t="n">
        <f aca="false">AVERAGE(K17,L17)</f>
        <v>22173.9130434783</v>
      </c>
      <c r="N17" s="9" t="s">
        <v>33</v>
      </c>
    </row>
    <row r="18" customFormat="false" ht="15" hidden="false" customHeight="false" outlineLevel="0" collapsed="false">
      <c r="A18" s="4" t="s">
        <v>16</v>
      </c>
      <c r="B18" s="5" t="s">
        <v>17</v>
      </c>
      <c r="C18" s="5" t="s">
        <v>23</v>
      </c>
      <c r="D18" s="6" t="s">
        <v>44</v>
      </c>
      <c r="E18" s="7" t="n">
        <v>1800000</v>
      </c>
      <c r="F18" s="7" t="n">
        <v>3000000</v>
      </c>
      <c r="G18" s="7" t="n">
        <f aca="false">AVERAGE(E18,F18)</f>
        <v>2400000</v>
      </c>
      <c r="H18" s="7" t="n">
        <f aca="false">E18/30</f>
        <v>60000</v>
      </c>
      <c r="I18" s="7" t="n">
        <f aca="false">F18/30</f>
        <v>100000</v>
      </c>
      <c r="J18" s="7" t="n">
        <f aca="false">AVERAGE(H18,I18)</f>
        <v>80000</v>
      </c>
      <c r="K18" s="7" t="n">
        <f aca="false">E18/230</f>
        <v>7826.08695652174</v>
      </c>
      <c r="L18" s="7" t="n">
        <f aca="false">F18/230</f>
        <v>13043.4782608696</v>
      </c>
      <c r="M18" s="7" t="n">
        <f aca="false">AVERAGE(K18,L18)</f>
        <v>10434.7826086957</v>
      </c>
      <c r="N18" s="5" t="s">
        <v>28</v>
      </c>
    </row>
    <row r="19" customFormat="false" ht="15" hidden="false" customHeight="false" outlineLevel="0" collapsed="false">
      <c r="A19" s="8" t="s">
        <v>16</v>
      </c>
      <c r="B19" s="9" t="s">
        <v>17</v>
      </c>
      <c r="C19" s="9" t="s">
        <v>29</v>
      </c>
      <c r="D19" s="10" t="s">
        <v>45</v>
      </c>
      <c r="E19" s="11" t="n">
        <v>3500000</v>
      </c>
      <c r="F19" s="11" t="n">
        <v>7500000</v>
      </c>
      <c r="G19" s="11" t="n">
        <f aca="false">AVERAGE(E19,F19)</f>
        <v>5500000</v>
      </c>
      <c r="H19" s="11" t="n">
        <f aca="false">E19/30</f>
        <v>116666.666666667</v>
      </c>
      <c r="I19" s="11" t="n">
        <f aca="false">F19/30</f>
        <v>250000</v>
      </c>
      <c r="J19" s="11" t="n">
        <f aca="false">AVERAGE(H19,I19)</f>
        <v>183333.333333333</v>
      </c>
      <c r="K19" s="11" t="n">
        <f aca="false">E19/230</f>
        <v>15217.3913043478</v>
      </c>
      <c r="L19" s="11" t="n">
        <f aca="false">F19/230</f>
        <v>32608.6956521739</v>
      </c>
      <c r="M19" s="11" t="n">
        <f aca="false">AVERAGE(K19,L19)</f>
        <v>23913.0434782609</v>
      </c>
      <c r="N19" s="9" t="s">
        <v>33</v>
      </c>
    </row>
    <row r="20" customFormat="false" ht="15" hidden="false" customHeight="false" outlineLevel="0" collapsed="false">
      <c r="A20" s="4" t="s">
        <v>16</v>
      </c>
      <c r="B20" s="5" t="s">
        <v>17</v>
      </c>
      <c r="C20" s="5" t="s">
        <v>18</v>
      </c>
      <c r="D20" s="6" t="s">
        <v>46</v>
      </c>
      <c r="E20" s="7" t="n">
        <v>1423500</v>
      </c>
      <c r="F20" s="7" t="n">
        <v>2000000</v>
      </c>
      <c r="G20" s="7" t="n">
        <f aca="false">AVERAGE(E20,F20)</f>
        <v>1711750</v>
      </c>
      <c r="H20" s="7" t="n">
        <f aca="false">E20/30</f>
        <v>47450</v>
      </c>
      <c r="I20" s="7" t="n">
        <f aca="false">F20/30</f>
        <v>66666.6666666667</v>
      </c>
      <c r="J20" s="7" t="n">
        <f aca="false">AVERAGE(H20,I20)</f>
        <v>57058.3333333333</v>
      </c>
      <c r="K20" s="7" t="n">
        <f aca="false">E20/230</f>
        <v>6189.13043478261</v>
      </c>
      <c r="L20" s="7" t="n">
        <f aca="false">F20/230</f>
        <v>8695.65217391304</v>
      </c>
      <c r="M20" s="7" t="n">
        <f aca="false">AVERAGE(K20,L20)</f>
        <v>7442.39130434783</v>
      </c>
      <c r="N20" s="5" t="s">
        <v>33</v>
      </c>
    </row>
    <row r="21" customFormat="false" ht="15" hidden="false" customHeight="false" outlineLevel="0" collapsed="false">
      <c r="A21" s="8" t="s">
        <v>16</v>
      </c>
      <c r="B21" s="9" t="s">
        <v>17</v>
      </c>
      <c r="C21" s="9" t="s">
        <v>23</v>
      </c>
      <c r="D21" s="10" t="s">
        <v>47</v>
      </c>
      <c r="E21" s="11" t="n">
        <v>1800000</v>
      </c>
      <c r="F21" s="11" t="n">
        <v>3000000</v>
      </c>
      <c r="G21" s="11" t="n">
        <f aca="false">AVERAGE(E21,F21)</f>
        <v>2400000</v>
      </c>
      <c r="H21" s="11" t="n">
        <f aca="false">E21/30</f>
        <v>60000</v>
      </c>
      <c r="I21" s="11" t="n">
        <f aca="false">F21/30</f>
        <v>100000</v>
      </c>
      <c r="J21" s="11" t="n">
        <f aca="false">AVERAGE(H21,I21)</f>
        <v>80000</v>
      </c>
      <c r="K21" s="11" t="n">
        <f aca="false">E21/230</f>
        <v>7826.08695652174</v>
      </c>
      <c r="L21" s="11" t="n">
        <f aca="false">F21/230</f>
        <v>13043.4782608696</v>
      </c>
      <c r="M21" s="11" t="n">
        <f aca="false">AVERAGE(K21,L21)</f>
        <v>10434.7826086957</v>
      </c>
      <c r="N21" s="9" t="s">
        <v>28</v>
      </c>
    </row>
    <row r="22" customFormat="false" ht="15" hidden="false" customHeight="false" outlineLevel="0" collapsed="false">
      <c r="A22" s="4" t="s">
        <v>16</v>
      </c>
      <c r="B22" s="5" t="s">
        <v>17</v>
      </c>
      <c r="C22" s="5" t="s">
        <v>29</v>
      </c>
      <c r="D22" s="6" t="s">
        <v>48</v>
      </c>
      <c r="E22" s="7" t="n">
        <v>3500000</v>
      </c>
      <c r="F22" s="7" t="n">
        <v>7000000</v>
      </c>
      <c r="G22" s="7" t="n">
        <f aca="false">AVERAGE(E22,F22)</f>
        <v>5250000</v>
      </c>
      <c r="H22" s="7" t="n">
        <f aca="false">E22/30</f>
        <v>116666.666666667</v>
      </c>
      <c r="I22" s="7" t="n">
        <f aca="false">F22/30</f>
        <v>233333.333333333</v>
      </c>
      <c r="J22" s="7" t="n">
        <f aca="false">AVERAGE(H22,I22)</f>
        <v>175000</v>
      </c>
      <c r="K22" s="7" t="n">
        <f aca="false">E22/230</f>
        <v>15217.3913043478</v>
      </c>
      <c r="L22" s="7" t="n">
        <f aca="false">F22/230</f>
        <v>30434.7826086957</v>
      </c>
      <c r="M22" s="7" t="n">
        <f aca="false">AVERAGE(K22,L22)</f>
        <v>22826.0869565217</v>
      </c>
      <c r="N22" s="5" t="s">
        <v>33</v>
      </c>
    </row>
    <row r="23" customFormat="false" ht="15" hidden="false" customHeight="false" outlineLevel="0" collapsed="false">
      <c r="A23" s="8" t="s">
        <v>16</v>
      </c>
      <c r="B23" s="9" t="s">
        <v>49</v>
      </c>
      <c r="C23" s="9" t="s">
        <v>18</v>
      </c>
      <c r="D23" s="10" t="s">
        <v>50</v>
      </c>
      <c r="E23" s="11" t="n">
        <v>1700000</v>
      </c>
      <c r="F23" s="11" t="n">
        <v>3000000</v>
      </c>
      <c r="G23" s="11" t="n">
        <f aca="false">AVERAGE(E23,F23)</f>
        <v>2350000</v>
      </c>
      <c r="H23" s="11" t="n">
        <f aca="false">E23/30</f>
        <v>56666.6666666667</v>
      </c>
      <c r="I23" s="11" t="n">
        <f aca="false">F23/30</f>
        <v>100000</v>
      </c>
      <c r="J23" s="11" t="n">
        <f aca="false">AVERAGE(H23,I23)</f>
        <v>78333.3333333333</v>
      </c>
      <c r="K23" s="11" t="n">
        <f aca="false">E23/230</f>
        <v>7391.30434782609</v>
      </c>
      <c r="L23" s="11" t="n">
        <f aca="false">F23/230</f>
        <v>13043.4782608696</v>
      </c>
      <c r="M23" s="11" t="n">
        <f aca="false">AVERAGE(K23,L23)</f>
        <v>10217.3913043478</v>
      </c>
      <c r="N23" s="9" t="s">
        <v>51</v>
      </c>
    </row>
    <row r="24" customFormat="false" ht="15" hidden="false" customHeight="false" outlineLevel="0" collapsed="false">
      <c r="A24" s="4" t="s">
        <v>16</v>
      </c>
      <c r="B24" s="5" t="s">
        <v>49</v>
      </c>
      <c r="C24" s="5" t="s">
        <v>18</v>
      </c>
      <c r="D24" s="6" t="s">
        <v>52</v>
      </c>
      <c r="E24" s="7" t="n">
        <v>2200000</v>
      </c>
      <c r="F24" s="7" t="n">
        <v>4000000</v>
      </c>
      <c r="G24" s="7" t="n">
        <f aca="false">AVERAGE(E24,F24)</f>
        <v>3100000</v>
      </c>
      <c r="H24" s="7" t="n">
        <f aca="false">E24/30</f>
        <v>73333.3333333333</v>
      </c>
      <c r="I24" s="7" t="n">
        <f aca="false">F24/30</f>
        <v>133333.333333333</v>
      </c>
      <c r="J24" s="7" t="n">
        <f aca="false">AVERAGE(H24,I24)</f>
        <v>103333.333333333</v>
      </c>
      <c r="K24" s="7" t="n">
        <f aca="false">E24/230</f>
        <v>9565.21739130435</v>
      </c>
      <c r="L24" s="7" t="n">
        <f aca="false">F24/230</f>
        <v>17391.3043478261</v>
      </c>
      <c r="M24" s="7" t="n">
        <f aca="false">AVERAGE(K24,L24)</f>
        <v>13478.2608695652</v>
      </c>
      <c r="N24" s="5" t="s">
        <v>33</v>
      </c>
    </row>
    <row r="25" customFormat="false" ht="15" hidden="false" customHeight="false" outlineLevel="0" collapsed="false">
      <c r="A25" s="8" t="s">
        <v>16</v>
      </c>
      <c r="B25" s="9" t="s">
        <v>49</v>
      </c>
      <c r="C25" s="9" t="s">
        <v>23</v>
      </c>
      <c r="D25" s="10" t="s">
        <v>53</v>
      </c>
      <c r="E25" s="11" t="n">
        <v>2500000</v>
      </c>
      <c r="F25" s="11" t="n">
        <v>4500000</v>
      </c>
      <c r="G25" s="11" t="n">
        <f aca="false">AVERAGE(E25,F25)</f>
        <v>3500000</v>
      </c>
      <c r="H25" s="11" t="n">
        <f aca="false">E25/30</f>
        <v>83333.3333333333</v>
      </c>
      <c r="I25" s="11" t="n">
        <f aca="false">F25/30</f>
        <v>150000</v>
      </c>
      <c r="J25" s="11" t="n">
        <f aca="false">AVERAGE(H25,I25)</f>
        <v>116666.666666667</v>
      </c>
      <c r="K25" s="11" t="n">
        <f aca="false">E25/230</f>
        <v>10869.5652173913</v>
      </c>
      <c r="L25" s="11" t="n">
        <f aca="false">F25/230</f>
        <v>19565.2173913043</v>
      </c>
      <c r="M25" s="11" t="n">
        <f aca="false">AVERAGE(K25,L25)</f>
        <v>15217.3913043478</v>
      </c>
      <c r="N25" s="9" t="s">
        <v>28</v>
      </c>
    </row>
    <row r="26" customFormat="false" ht="15" hidden="false" customHeight="false" outlineLevel="0" collapsed="false">
      <c r="A26" s="4" t="s">
        <v>16</v>
      </c>
      <c r="B26" s="5" t="s">
        <v>49</v>
      </c>
      <c r="C26" s="5" t="s">
        <v>23</v>
      </c>
      <c r="D26" s="6" t="s">
        <v>54</v>
      </c>
      <c r="E26" s="7" t="n">
        <v>2800000</v>
      </c>
      <c r="F26" s="7" t="n">
        <v>5000000</v>
      </c>
      <c r="G26" s="7" t="n">
        <f aca="false">AVERAGE(E26,F26)</f>
        <v>3900000</v>
      </c>
      <c r="H26" s="7" t="n">
        <f aca="false">E26/30</f>
        <v>93333.3333333333</v>
      </c>
      <c r="I26" s="7" t="n">
        <f aca="false">F26/30</f>
        <v>166666.666666667</v>
      </c>
      <c r="J26" s="7" t="n">
        <f aca="false">AVERAGE(H26,I26)</f>
        <v>130000</v>
      </c>
      <c r="K26" s="7" t="n">
        <f aca="false">E26/230</f>
        <v>12173.9130434783</v>
      </c>
      <c r="L26" s="7" t="n">
        <f aca="false">F26/230</f>
        <v>21739.1304347826</v>
      </c>
      <c r="M26" s="7" t="n">
        <f aca="false">AVERAGE(K26,L26)</f>
        <v>16956.5217391304</v>
      </c>
      <c r="N26" s="5" t="s">
        <v>28</v>
      </c>
    </row>
    <row r="27" customFormat="false" ht="15" hidden="false" customHeight="false" outlineLevel="0" collapsed="false">
      <c r="A27" s="8" t="s">
        <v>16</v>
      </c>
      <c r="B27" s="9" t="s">
        <v>49</v>
      </c>
      <c r="C27" s="9" t="s">
        <v>29</v>
      </c>
      <c r="D27" s="10" t="s">
        <v>55</v>
      </c>
      <c r="E27" s="11" t="n">
        <v>5000000</v>
      </c>
      <c r="F27" s="11" t="n">
        <v>12000000</v>
      </c>
      <c r="G27" s="11" t="n">
        <f aca="false">AVERAGE(E27,F27)</f>
        <v>8500000</v>
      </c>
      <c r="H27" s="11" t="n">
        <f aca="false">E27/30</f>
        <v>166666.666666667</v>
      </c>
      <c r="I27" s="11" t="n">
        <f aca="false">F27/30</f>
        <v>400000</v>
      </c>
      <c r="J27" s="11" t="n">
        <f aca="false">AVERAGE(H27,I27)</f>
        <v>283333.333333333</v>
      </c>
      <c r="K27" s="11" t="n">
        <f aca="false">E27/230</f>
        <v>21739.1304347826</v>
      </c>
      <c r="L27" s="11" t="n">
        <f aca="false">F27/230</f>
        <v>52173.9130434783</v>
      </c>
      <c r="M27" s="11" t="n">
        <f aca="false">AVERAGE(K27,L27)</f>
        <v>36956.5217391304</v>
      </c>
      <c r="N27" s="9" t="s">
        <v>33</v>
      </c>
    </row>
    <row r="28" customFormat="false" ht="15" hidden="false" customHeight="false" outlineLevel="0" collapsed="false">
      <c r="A28" s="4" t="s">
        <v>16</v>
      </c>
      <c r="B28" s="5" t="s">
        <v>49</v>
      </c>
      <c r="C28" s="5" t="s">
        <v>29</v>
      </c>
      <c r="D28" s="6" t="s">
        <v>56</v>
      </c>
      <c r="E28" s="7" t="n">
        <v>5000000</v>
      </c>
      <c r="F28" s="7" t="n">
        <v>11000000</v>
      </c>
      <c r="G28" s="7" t="n">
        <f aca="false">AVERAGE(E28,F28)</f>
        <v>8000000</v>
      </c>
      <c r="H28" s="7" t="n">
        <f aca="false">E28/30</f>
        <v>166666.666666667</v>
      </c>
      <c r="I28" s="7" t="n">
        <f aca="false">F28/30</f>
        <v>366666.666666667</v>
      </c>
      <c r="J28" s="7" t="n">
        <f aca="false">AVERAGE(H28,I28)</f>
        <v>266666.666666667</v>
      </c>
      <c r="K28" s="7" t="n">
        <f aca="false">E28/230</f>
        <v>21739.1304347826</v>
      </c>
      <c r="L28" s="7" t="n">
        <f aca="false">F28/230</f>
        <v>47826.0869565217</v>
      </c>
      <c r="M28" s="7" t="n">
        <f aca="false">AVERAGE(K28,L28)</f>
        <v>34782.6086956522</v>
      </c>
      <c r="N28" s="5" t="s">
        <v>33</v>
      </c>
    </row>
    <row r="29" customFormat="false" ht="15" hidden="false" customHeight="false" outlineLevel="0" collapsed="false">
      <c r="A29" s="8" t="s">
        <v>16</v>
      </c>
      <c r="B29" s="9" t="s">
        <v>49</v>
      </c>
      <c r="C29" s="9" t="s">
        <v>34</v>
      </c>
      <c r="D29" s="10" t="s">
        <v>57</v>
      </c>
      <c r="E29" s="11" t="n">
        <v>9000000</v>
      </c>
      <c r="F29" s="11" t="n">
        <v>18000000</v>
      </c>
      <c r="G29" s="11" t="n">
        <f aca="false">AVERAGE(E29,F29)</f>
        <v>13500000</v>
      </c>
      <c r="H29" s="11" t="n">
        <f aca="false">E29/30</f>
        <v>300000</v>
      </c>
      <c r="I29" s="11" t="n">
        <f aca="false">F29/30</f>
        <v>600000</v>
      </c>
      <c r="J29" s="11" t="n">
        <f aca="false">AVERAGE(H29,I29)</f>
        <v>450000</v>
      </c>
      <c r="K29" s="11" t="n">
        <f aca="false">E29/230</f>
        <v>39130.4347826087</v>
      </c>
      <c r="L29" s="11" t="n">
        <f aca="false">F29/230</f>
        <v>78260.8695652174</v>
      </c>
      <c r="M29" s="11" t="n">
        <f aca="false">AVERAGE(K29,L29)</f>
        <v>58695.652173913</v>
      </c>
      <c r="N29" s="9" t="s">
        <v>58</v>
      </c>
    </row>
    <row r="30" customFormat="false" ht="15" hidden="false" customHeight="false" outlineLevel="0" collapsed="false">
      <c r="A30" s="4" t="s">
        <v>16</v>
      </c>
      <c r="B30" s="5" t="s">
        <v>49</v>
      </c>
      <c r="C30" s="5" t="s">
        <v>37</v>
      </c>
      <c r="D30" s="6" t="s">
        <v>59</v>
      </c>
      <c r="E30" s="7" t="n">
        <v>15000000</v>
      </c>
      <c r="F30" s="7" t="n">
        <v>35000000</v>
      </c>
      <c r="G30" s="7" t="n">
        <f aca="false">AVERAGE(E30,F30)</f>
        <v>25000000</v>
      </c>
      <c r="H30" s="7" t="n">
        <f aca="false">E30/30</f>
        <v>500000</v>
      </c>
      <c r="I30" s="7" t="n">
        <f aca="false">F30/30</f>
        <v>1166666.66666667</v>
      </c>
      <c r="J30" s="7" t="n">
        <f aca="false">AVERAGE(H30,I30)</f>
        <v>833333.333333333</v>
      </c>
      <c r="K30" s="7" t="n">
        <f aca="false">E30/230</f>
        <v>65217.3913043478</v>
      </c>
      <c r="L30" s="7" t="n">
        <f aca="false">F30/230</f>
        <v>152173.913043478</v>
      </c>
      <c r="M30" s="7" t="n">
        <f aca="false">AVERAGE(K30,L30)</f>
        <v>108695.652173913</v>
      </c>
      <c r="N30" s="5" t="s">
        <v>39</v>
      </c>
    </row>
    <row r="31" customFormat="false" ht="15" hidden="false" customHeight="false" outlineLevel="0" collapsed="false">
      <c r="A31" s="8" t="s">
        <v>16</v>
      </c>
      <c r="B31" s="9" t="s">
        <v>49</v>
      </c>
      <c r="C31" s="9" t="s">
        <v>18</v>
      </c>
      <c r="D31" s="10" t="s">
        <v>60</v>
      </c>
      <c r="E31" s="11" t="n">
        <v>3000000</v>
      </c>
      <c r="F31" s="11" t="n">
        <v>5500000</v>
      </c>
      <c r="G31" s="11" t="n">
        <f aca="false">AVERAGE(E31,F31)</f>
        <v>4250000</v>
      </c>
      <c r="H31" s="11" t="n">
        <f aca="false">E31/30</f>
        <v>100000</v>
      </c>
      <c r="I31" s="11" t="n">
        <f aca="false">F31/30</f>
        <v>183333.333333333</v>
      </c>
      <c r="J31" s="11" t="n">
        <f aca="false">AVERAGE(H31,I31)</f>
        <v>141666.666666667</v>
      </c>
      <c r="K31" s="11" t="n">
        <f aca="false">E31/230</f>
        <v>13043.4782608696</v>
      </c>
      <c r="L31" s="11" t="n">
        <f aca="false">F31/230</f>
        <v>23913.0434782609</v>
      </c>
      <c r="M31" s="11" t="n">
        <f aca="false">AVERAGE(K31,L31)</f>
        <v>18478.2608695652</v>
      </c>
      <c r="N31" s="9" t="s">
        <v>61</v>
      </c>
    </row>
    <row r="32" customFormat="false" ht="15" hidden="false" customHeight="false" outlineLevel="0" collapsed="false">
      <c r="A32" s="4" t="s">
        <v>16</v>
      </c>
      <c r="B32" s="5" t="s">
        <v>49</v>
      </c>
      <c r="C32" s="5" t="s">
        <v>23</v>
      </c>
      <c r="D32" s="6" t="s">
        <v>62</v>
      </c>
      <c r="E32" s="7" t="n">
        <v>3500000</v>
      </c>
      <c r="F32" s="7" t="n">
        <v>7000000</v>
      </c>
      <c r="G32" s="7" t="n">
        <f aca="false">AVERAGE(E32,F32)</f>
        <v>5250000</v>
      </c>
      <c r="H32" s="7" t="n">
        <f aca="false">E32/30</f>
        <v>116666.666666667</v>
      </c>
      <c r="I32" s="7" t="n">
        <f aca="false">F32/30</f>
        <v>233333.333333333</v>
      </c>
      <c r="J32" s="7" t="n">
        <f aca="false">AVERAGE(H32,I32)</f>
        <v>175000</v>
      </c>
      <c r="K32" s="7" t="n">
        <f aca="false">E32/230</f>
        <v>15217.3913043478</v>
      </c>
      <c r="L32" s="7" t="n">
        <f aca="false">F32/230</f>
        <v>30434.7826086957</v>
      </c>
      <c r="M32" s="7" t="n">
        <f aca="false">AVERAGE(K32,L32)</f>
        <v>22826.0869565217</v>
      </c>
      <c r="N32" s="5" t="s">
        <v>28</v>
      </c>
    </row>
    <row r="33" customFormat="false" ht="15" hidden="false" customHeight="false" outlineLevel="0" collapsed="false">
      <c r="A33" s="8" t="s">
        <v>16</v>
      </c>
      <c r="B33" s="9" t="s">
        <v>49</v>
      </c>
      <c r="C33" s="9" t="s">
        <v>29</v>
      </c>
      <c r="D33" s="10" t="s">
        <v>63</v>
      </c>
      <c r="E33" s="11" t="n">
        <v>7000000</v>
      </c>
      <c r="F33" s="11" t="n">
        <v>18000000</v>
      </c>
      <c r="G33" s="11" t="n">
        <f aca="false">AVERAGE(E33,F33)</f>
        <v>12500000</v>
      </c>
      <c r="H33" s="11" t="n">
        <f aca="false">E33/30</f>
        <v>233333.333333333</v>
      </c>
      <c r="I33" s="11" t="n">
        <f aca="false">F33/30</f>
        <v>600000</v>
      </c>
      <c r="J33" s="11" t="n">
        <f aca="false">AVERAGE(H33,I33)</f>
        <v>416666.666666667</v>
      </c>
      <c r="K33" s="11" t="n">
        <f aca="false">E33/230</f>
        <v>30434.7826086957</v>
      </c>
      <c r="L33" s="11" t="n">
        <f aca="false">F33/230</f>
        <v>78260.8695652174</v>
      </c>
      <c r="M33" s="11" t="n">
        <f aca="false">AVERAGE(K33,L33)</f>
        <v>54347.8260869565</v>
      </c>
      <c r="N33" s="9" t="s">
        <v>64</v>
      </c>
    </row>
    <row r="34" customFormat="false" ht="15" hidden="false" customHeight="false" outlineLevel="0" collapsed="false">
      <c r="A34" s="4" t="s">
        <v>16</v>
      </c>
      <c r="B34" s="5" t="s">
        <v>49</v>
      </c>
      <c r="C34" s="5" t="s">
        <v>29</v>
      </c>
      <c r="D34" s="6" t="s">
        <v>65</v>
      </c>
      <c r="E34" s="7" t="n">
        <v>9000000</v>
      </c>
      <c r="F34" s="7" t="n">
        <v>20000000</v>
      </c>
      <c r="G34" s="7" t="n">
        <f aca="false">AVERAGE(E34,F34)</f>
        <v>14500000</v>
      </c>
      <c r="H34" s="7" t="n">
        <f aca="false">E34/30</f>
        <v>300000</v>
      </c>
      <c r="I34" s="7" t="n">
        <f aca="false">F34/30</f>
        <v>666666.666666667</v>
      </c>
      <c r="J34" s="7" t="n">
        <f aca="false">AVERAGE(H34,I34)</f>
        <v>483333.333333333</v>
      </c>
      <c r="K34" s="7" t="n">
        <f aca="false">E34/230</f>
        <v>39130.4347826087</v>
      </c>
      <c r="L34" s="7" t="n">
        <f aca="false">F34/230</f>
        <v>86956.5217391304</v>
      </c>
      <c r="M34" s="7" t="n">
        <f aca="false">AVERAGE(K34,L34)</f>
        <v>63043.4782608696</v>
      </c>
      <c r="N34" s="5" t="s">
        <v>64</v>
      </c>
    </row>
    <row r="35" customFormat="false" ht="15" hidden="false" customHeight="false" outlineLevel="0" collapsed="false">
      <c r="A35" s="8" t="s">
        <v>16</v>
      </c>
      <c r="B35" s="9" t="s">
        <v>49</v>
      </c>
      <c r="C35" s="9" t="s">
        <v>34</v>
      </c>
      <c r="D35" s="10" t="s">
        <v>66</v>
      </c>
      <c r="E35" s="11" t="n">
        <v>15000000</v>
      </c>
      <c r="F35" s="11" t="n">
        <v>30000000</v>
      </c>
      <c r="G35" s="11" t="n">
        <f aca="false">AVERAGE(E35,F35)</f>
        <v>22500000</v>
      </c>
      <c r="H35" s="11" t="n">
        <f aca="false">E35/30</f>
        <v>500000</v>
      </c>
      <c r="I35" s="11" t="n">
        <f aca="false">F35/30</f>
        <v>1000000</v>
      </c>
      <c r="J35" s="11" t="n">
        <f aca="false">AVERAGE(H35,I35)</f>
        <v>750000</v>
      </c>
      <c r="K35" s="11" t="n">
        <f aca="false">E35/230</f>
        <v>65217.3913043478</v>
      </c>
      <c r="L35" s="11" t="n">
        <f aca="false">F35/230</f>
        <v>130434.782608696</v>
      </c>
      <c r="M35" s="11" t="n">
        <f aca="false">AVERAGE(K35,L35)</f>
        <v>97826.0869565217</v>
      </c>
      <c r="N35" s="9" t="s">
        <v>67</v>
      </c>
    </row>
    <row r="36" customFormat="false" ht="15" hidden="false" customHeight="false" outlineLevel="0" collapsed="false">
      <c r="A36" s="4" t="s">
        <v>16</v>
      </c>
      <c r="B36" s="5" t="s">
        <v>49</v>
      </c>
      <c r="C36" s="5" t="s">
        <v>37</v>
      </c>
      <c r="D36" s="6" t="s">
        <v>68</v>
      </c>
      <c r="E36" s="7" t="n">
        <v>20000000</v>
      </c>
      <c r="F36" s="7" t="n">
        <v>45000000</v>
      </c>
      <c r="G36" s="7" t="n">
        <f aca="false">AVERAGE(E36,F36)</f>
        <v>32500000</v>
      </c>
      <c r="H36" s="7" t="n">
        <f aca="false">E36/30</f>
        <v>666666.666666667</v>
      </c>
      <c r="I36" s="7" t="n">
        <f aca="false">F36/30</f>
        <v>1500000</v>
      </c>
      <c r="J36" s="7" t="n">
        <f aca="false">AVERAGE(H36,I36)</f>
        <v>1083333.33333333</v>
      </c>
      <c r="K36" s="7" t="n">
        <f aca="false">E36/230</f>
        <v>86956.5217391304</v>
      </c>
      <c r="L36" s="7" t="n">
        <f aca="false">F36/230</f>
        <v>195652.173913044</v>
      </c>
      <c r="M36" s="7" t="n">
        <f aca="false">AVERAGE(K36,L36)</f>
        <v>141304.347826087</v>
      </c>
      <c r="N36" s="5" t="s">
        <v>64</v>
      </c>
    </row>
    <row r="37" customFormat="false" ht="15" hidden="false" customHeight="false" outlineLevel="0" collapsed="false">
      <c r="A37" s="12" t="s">
        <v>69</v>
      </c>
      <c r="B37" s="9" t="s">
        <v>70</v>
      </c>
      <c r="C37" s="9" t="s">
        <v>18</v>
      </c>
      <c r="D37" s="10" t="s">
        <v>71</v>
      </c>
      <c r="E37" s="11" t="n">
        <v>1423500</v>
      </c>
      <c r="F37" s="11" t="n">
        <v>1900000</v>
      </c>
      <c r="G37" s="11" t="n">
        <f aca="false">AVERAGE(E37,F37)</f>
        <v>1661750</v>
      </c>
      <c r="H37" s="11" t="n">
        <f aca="false">E37/30</f>
        <v>47450</v>
      </c>
      <c r="I37" s="11" t="n">
        <f aca="false">F37/30</f>
        <v>63333.3333333333</v>
      </c>
      <c r="J37" s="11" t="n">
        <f aca="false">AVERAGE(H37,I37)</f>
        <v>55391.6666666667</v>
      </c>
      <c r="K37" s="11" t="n">
        <f aca="false">E37/230</f>
        <v>6189.13043478261</v>
      </c>
      <c r="L37" s="11" t="n">
        <f aca="false">F37/230</f>
        <v>8260.86956521739</v>
      </c>
      <c r="M37" s="11" t="n">
        <f aca="false">AVERAGE(K37,L37)</f>
        <v>7225</v>
      </c>
      <c r="N37" s="9" t="s">
        <v>25</v>
      </c>
    </row>
    <row r="38" customFormat="false" ht="15" hidden="false" customHeight="false" outlineLevel="0" collapsed="false">
      <c r="A38" s="13" t="s">
        <v>69</v>
      </c>
      <c r="B38" s="5" t="s">
        <v>70</v>
      </c>
      <c r="C38" s="5" t="s">
        <v>18</v>
      </c>
      <c r="D38" s="6" t="s">
        <v>72</v>
      </c>
      <c r="E38" s="7" t="n">
        <v>1423500</v>
      </c>
      <c r="F38" s="7" t="n">
        <v>2000000</v>
      </c>
      <c r="G38" s="7" t="n">
        <f aca="false">AVERAGE(E38,F38)</f>
        <v>1711750</v>
      </c>
      <c r="H38" s="7" t="n">
        <f aca="false">E38/30</f>
        <v>47450</v>
      </c>
      <c r="I38" s="7" t="n">
        <f aca="false">F38/30</f>
        <v>66666.6666666667</v>
      </c>
      <c r="J38" s="7" t="n">
        <f aca="false">AVERAGE(H38,I38)</f>
        <v>57058.3333333333</v>
      </c>
      <c r="K38" s="7" t="n">
        <f aca="false">E38/230</f>
        <v>6189.13043478261</v>
      </c>
      <c r="L38" s="7" t="n">
        <f aca="false">F38/230</f>
        <v>8695.65217391304</v>
      </c>
      <c r="M38" s="7" t="n">
        <f aca="false">AVERAGE(K38,L38)</f>
        <v>7442.39130434783</v>
      </c>
      <c r="N38" s="5" t="s">
        <v>33</v>
      </c>
    </row>
    <row r="39" customFormat="false" ht="15" hidden="false" customHeight="false" outlineLevel="0" collapsed="false">
      <c r="A39" s="12" t="s">
        <v>69</v>
      </c>
      <c r="B39" s="9" t="s">
        <v>70</v>
      </c>
      <c r="C39" s="9" t="s">
        <v>23</v>
      </c>
      <c r="D39" s="10" t="s">
        <v>73</v>
      </c>
      <c r="E39" s="11" t="n">
        <v>1900000</v>
      </c>
      <c r="F39" s="11" t="n">
        <v>3200000</v>
      </c>
      <c r="G39" s="11" t="n">
        <f aca="false">AVERAGE(E39,F39)</f>
        <v>2550000</v>
      </c>
      <c r="H39" s="11" t="n">
        <f aca="false">E39/30</f>
        <v>63333.3333333333</v>
      </c>
      <c r="I39" s="11" t="n">
        <f aca="false">F39/30</f>
        <v>106666.666666667</v>
      </c>
      <c r="J39" s="11" t="n">
        <f aca="false">AVERAGE(H39,I39)</f>
        <v>85000</v>
      </c>
      <c r="K39" s="11" t="n">
        <f aca="false">E39/230</f>
        <v>8260.86956521739</v>
      </c>
      <c r="L39" s="11" t="n">
        <f aca="false">F39/230</f>
        <v>13913.0434782609</v>
      </c>
      <c r="M39" s="11" t="n">
        <f aca="false">AVERAGE(K39,L39)</f>
        <v>11086.9565217391</v>
      </c>
      <c r="N39" s="9" t="s">
        <v>28</v>
      </c>
    </row>
    <row r="40" customFormat="false" ht="15" hidden="false" customHeight="false" outlineLevel="0" collapsed="false">
      <c r="A40" s="13" t="s">
        <v>69</v>
      </c>
      <c r="B40" s="5" t="s">
        <v>70</v>
      </c>
      <c r="C40" s="5" t="s">
        <v>23</v>
      </c>
      <c r="D40" s="6" t="s">
        <v>74</v>
      </c>
      <c r="E40" s="7" t="n">
        <v>2200000</v>
      </c>
      <c r="F40" s="7" t="n">
        <v>4000000</v>
      </c>
      <c r="G40" s="7" t="n">
        <f aca="false">AVERAGE(E40,F40)</f>
        <v>3100000</v>
      </c>
      <c r="H40" s="7" t="n">
        <f aca="false">E40/30</f>
        <v>73333.3333333333</v>
      </c>
      <c r="I40" s="7" t="n">
        <f aca="false">F40/30</f>
        <v>133333.333333333</v>
      </c>
      <c r="J40" s="7" t="n">
        <f aca="false">AVERAGE(H40,I40)</f>
        <v>103333.333333333</v>
      </c>
      <c r="K40" s="7" t="n">
        <f aca="false">E40/230</f>
        <v>9565.21739130435</v>
      </c>
      <c r="L40" s="7" t="n">
        <f aca="false">F40/230</f>
        <v>17391.3043478261</v>
      </c>
      <c r="M40" s="7" t="n">
        <f aca="false">AVERAGE(K40,L40)</f>
        <v>13478.2608695652</v>
      </c>
      <c r="N40" s="5" t="s">
        <v>28</v>
      </c>
    </row>
    <row r="41" customFormat="false" ht="15" hidden="false" customHeight="false" outlineLevel="0" collapsed="false">
      <c r="A41" s="12" t="s">
        <v>69</v>
      </c>
      <c r="B41" s="9" t="s">
        <v>70</v>
      </c>
      <c r="C41" s="9" t="s">
        <v>29</v>
      </c>
      <c r="D41" s="10" t="s">
        <v>75</v>
      </c>
      <c r="E41" s="11" t="n">
        <v>3500000</v>
      </c>
      <c r="F41" s="11" t="n">
        <v>8000000</v>
      </c>
      <c r="G41" s="11" t="n">
        <f aca="false">AVERAGE(E41,F41)</f>
        <v>5750000</v>
      </c>
      <c r="H41" s="11" t="n">
        <f aca="false">E41/30</f>
        <v>116666.666666667</v>
      </c>
      <c r="I41" s="11" t="n">
        <f aca="false">F41/30</f>
        <v>266666.666666667</v>
      </c>
      <c r="J41" s="11" t="n">
        <f aca="false">AVERAGE(H41,I41)</f>
        <v>191666.666666667</v>
      </c>
      <c r="K41" s="11" t="n">
        <f aca="false">E41/230</f>
        <v>15217.3913043478</v>
      </c>
      <c r="L41" s="11" t="n">
        <f aca="false">F41/230</f>
        <v>34782.6086956522</v>
      </c>
      <c r="M41" s="11" t="n">
        <f aca="false">AVERAGE(K41,L41)</f>
        <v>25000</v>
      </c>
      <c r="N41" s="9" t="s">
        <v>33</v>
      </c>
    </row>
    <row r="42" customFormat="false" ht="15" hidden="false" customHeight="false" outlineLevel="0" collapsed="false">
      <c r="A42" s="13" t="s">
        <v>69</v>
      </c>
      <c r="B42" s="5" t="s">
        <v>70</v>
      </c>
      <c r="C42" s="5" t="s">
        <v>29</v>
      </c>
      <c r="D42" s="6" t="s">
        <v>76</v>
      </c>
      <c r="E42" s="7" t="n">
        <v>4000000</v>
      </c>
      <c r="F42" s="7" t="n">
        <v>9000000</v>
      </c>
      <c r="G42" s="7" t="n">
        <f aca="false">AVERAGE(E42,F42)</f>
        <v>6500000</v>
      </c>
      <c r="H42" s="7" t="n">
        <f aca="false">E42/30</f>
        <v>133333.333333333</v>
      </c>
      <c r="I42" s="7" t="n">
        <f aca="false">F42/30</f>
        <v>300000</v>
      </c>
      <c r="J42" s="7" t="n">
        <f aca="false">AVERAGE(H42,I42)</f>
        <v>216666.666666667</v>
      </c>
      <c r="K42" s="7" t="n">
        <f aca="false">E42/230</f>
        <v>17391.3043478261</v>
      </c>
      <c r="L42" s="7" t="n">
        <f aca="false">F42/230</f>
        <v>39130.4347826087</v>
      </c>
      <c r="M42" s="7" t="n">
        <f aca="false">AVERAGE(K42,L42)</f>
        <v>28260.8695652174</v>
      </c>
      <c r="N42" s="5" t="s">
        <v>33</v>
      </c>
    </row>
    <row r="43" customFormat="false" ht="15" hidden="false" customHeight="false" outlineLevel="0" collapsed="false">
      <c r="A43" s="12" t="s">
        <v>69</v>
      </c>
      <c r="B43" s="9" t="s">
        <v>70</v>
      </c>
      <c r="C43" s="9" t="s">
        <v>34</v>
      </c>
      <c r="D43" s="10" t="s">
        <v>77</v>
      </c>
      <c r="E43" s="11" t="n">
        <v>7000000</v>
      </c>
      <c r="F43" s="11" t="n">
        <v>15000000</v>
      </c>
      <c r="G43" s="11" t="n">
        <f aca="false">AVERAGE(E43,F43)</f>
        <v>11000000</v>
      </c>
      <c r="H43" s="11" t="n">
        <f aca="false">E43/30</f>
        <v>233333.333333333</v>
      </c>
      <c r="I43" s="11" t="n">
        <f aca="false">F43/30</f>
        <v>500000</v>
      </c>
      <c r="J43" s="11" t="n">
        <f aca="false">AVERAGE(H43,I43)</f>
        <v>366666.666666667</v>
      </c>
      <c r="K43" s="11" t="n">
        <f aca="false">E43/230</f>
        <v>30434.7826086957</v>
      </c>
      <c r="L43" s="11" t="n">
        <f aca="false">F43/230</f>
        <v>65217.3913043478</v>
      </c>
      <c r="M43" s="11" t="n">
        <f aca="false">AVERAGE(K43,L43)</f>
        <v>47826.0869565217</v>
      </c>
      <c r="N43" s="9" t="s">
        <v>58</v>
      </c>
    </row>
    <row r="44" customFormat="false" ht="15" hidden="false" customHeight="false" outlineLevel="0" collapsed="false">
      <c r="A44" s="13" t="s">
        <v>69</v>
      </c>
      <c r="B44" s="5" t="s">
        <v>70</v>
      </c>
      <c r="C44" s="5" t="s">
        <v>18</v>
      </c>
      <c r="D44" s="6" t="s">
        <v>78</v>
      </c>
      <c r="E44" s="7" t="n">
        <v>1423500</v>
      </c>
      <c r="F44" s="7" t="n">
        <v>1900000</v>
      </c>
      <c r="G44" s="7" t="n">
        <f aca="false">AVERAGE(E44,F44)</f>
        <v>1661750</v>
      </c>
      <c r="H44" s="7" t="n">
        <f aca="false">E44/30</f>
        <v>47450</v>
      </c>
      <c r="I44" s="7" t="n">
        <f aca="false">F44/30</f>
        <v>63333.3333333333</v>
      </c>
      <c r="J44" s="7" t="n">
        <f aca="false">AVERAGE(H44,I44)</f>
        <v>55391.6666666667</v>
      </c>
      <c r="K44" s="7" t="n">
        <f aca="false">E44/230</f>
        <v>6189.13043478261</v>
      </c>
      <c r="L44" s="7" t="n">
        <f aca="false">F44/230</f>
        <v>8260.86956521739</v>
      </c>
      <c r="M44" s="7" t="n">
        <f aca="false">AVERAGE(K44,L44)</f>
        <v>7225</v>
      </c>
      <c r="N44" s="5" t="s">
        <v>79</v>
      </c>
    </row>
    <row r="45" customFormat="false" ht="15" hidden="false" customHeight="false" outlineLevel="0" collapsed="false">
      <c r="A45" s="12" t="s">
        <v>69</v>
      </c>
      <c r="B45" s="9" t="s">
        <v>70</v>
      </c>
      <c r="C45" s="9" t="s">
        <v>23</v>
      </c>
      <c r="D45" s="10" t="s">
        <v>80</v>
      </c>
      <c r="E45" s="11" t="n">
        <v>1900000</v>
      </c>
      <c r="F45" s="11" t="n">
        <v>3500000</v>
      </c>
      <c r="G45" s="11" t="n">
        <f aca="false">AVERAGE(E45,F45)</f>
        <v>2700000</v>
      </c>
      <c r="H45" s="11" t="n">
        <f aca="false">E45/30</f>
        <v>63333.3333333333</v>
      </c>
      <c r="I45" s="11" t="n">
        <f aca="false">F45/30</f>
        <v>116666.666666667</v>
      </c>
      <c r="J45" s="11" t="n">
        <f aca="false">AVERAGE(H45,I45)</f>
        <v>90000</v>
      </c>
      <c r="K45" s="11" t="n">
        <f aca="false">E45/230</f>
        <v>8260.86956521739</v>
      </c>
      <c r="L45" s="11" t="n">
        <f aca="false">F45/230</f>
        <v>15217.3913043478</v>
      </c>
      <c r="M45" s="11" t="n">
        <f aca="false">AVERAGE(K45,L45)</f>
        <v>11739.1304347826</v>
      </c>
      <c r="N45" s="9" t="s">
        <v>28</v>
      </c>
    </row>
    <row r="46" customFormat="false" ht="15" hidden="false" customHeight="false" outlineLevel="0" collapsed="false">
      <c r="A46" s="13" t="s">
        <v>69</v>
      </c>
      <c r="B46" s="5" t="s">
        <v>70</v>
      </c>
      <c r="C46" s="5" t="s">
        <v>29</v>
      </c>
      <c r="D46" s="6" t="s">
        <v>81</v>
      </c>
      <c r="E46" s="7" t="n">
        <v>3000000</v>
      </c>
      <c r="F46" s="7" t="n">
        <v>8000000</v>
      </c>
      <c r="G46" s="7" t="n">
        <f aca="false">AVERAGE(E46,F46)</f>
        <v>5500000</v>
      </c>
      <c r="H46" s="7" t="n">
        <f aca="false">E46/30</f>
        <v>100000</v>
      </c>
      <c r="I46" s="7" t="n">
        <f aca="false">F46/30</f>
        <v>266666.666666667</v>
      </c>
      <c r="J46" s="7" t="n">
        <f aca="false">AVERAGE(H46,I46)</f>
        <v>183333.333333333</v>
      </c>
      <c r="K46" s="7" t="n">
        <f aca="false">E46/230</f>
        <v>13043.4782608696</v>
      </c>
      <c r="L46" s="7" t="n">
        <f aca="false">F46/230</f>
        <v>34782.6086956522</v>
      </c>
      <c r="M46" s="7" t="n">
        <f aca="false">AVERAGE(K46,L46)</f>
        <v>23913.0434782609</v>
      </c>
      <c r="N46" s="5" t="s">
        <v>33</v>
      </c>
    </row>
    <row r="47" customFormat="false" ht="15" hidden="false" customHeight="false" outlineLevel="0" collapsed="false">
      <c r="A47" s="12" t="s">
        <v>69</v>
      </c>
      <c r="B47" s="9" t="s">
        <v>70</v>
      </c>
      <c r="C47" s="9" t="s">
        <v>23</v>
      </c>
      <c r="D47" s="10" t="s">
        <v>82</v>
      </c>
      <c r="E47" s="11" t="n">
        <v>2000000</v>
      </c>
      <c r="F47" s="11" t="n">
        <v>3500000</v>
      </c>
      <c r="G47" s="11" t="n">
        <f aca="false">AVERAGE(E47,F47)</f>
        <v>2750000</v>
      </c>
      <c r="H47" s="11" t="n">
        <f aca="false">E47/30</f>
        <v>66666.6666666667</v>
      </c>
      <c r="I47" s="11" t="n">
        <f aca="false">F47/30</f>
        <v>116666.666666667</v>
      </c>
      <c r="J47" s="11" t="n">
        <f aca="false">AVERAGE(H47,I47)</f>
        <v>91666.6666666667</v>
      </c>
      <c r="K47" s="11" t="n">
        <f aca="false">E47/230</f>
        <v>8695.65217391304</v>
      </c>
      <c r="L47" s="11" t="n">
        <f aca="false">F47/230</f>
        <v>15217.3913043478</v>
      </c>
      <c r="M47" s="11" t="n">
        <f aca="false">AVERAGE(K47,L47)</f>
        <v>11956.5217391304</v>
      </c>
      <c r="N47" s="9" t="s">
        <v>28</v>
      </c>
    </row>
    <row r="48" customFormat="false" ht="15" hidden="false" customHeight="false" outlineLevel="0" collapsed="false">
      <c r="A48" s="13" t="s">
        <v>69</v>
      </c>
      <c r="B48" s="5" t="s">
        <v>70</v>
      </c>
      <c r="C48" s="5" t="s">
        <v>29</v>
      </c>
      <c r="D48" s="6" t="s">
        <v>83</v>
      </c>
      <c r="E48" s="7" t="n">
        <v>4500000</v>
      </c>
      <c r="F48" s="7" t="n">
        <v>10000000</v>
      </c>
      <c r="G48" s="7" t="n">
        <f aca="false">AVERAGE(E48,F48)</f>
        <v>7250000</v>
      </c>
      <c r="H48" s="7" t="n">
        <f aca="false">E48/30</f>
        <v>150000</v>
      </c>
      <c r="I48" s="7" t="n">
        <f aca="false">F48/30</f>
        <v>333333.333333333</v>
      </c>
      <c r="J48" s="7" t="n">
        <f aca="false">AVERAGE(H48,I48)</f>
        <v>241666.666666667</v>
      </c>
      <c r="K48" s="7" t="n">
        <f aca="false">E48/230</f>
        <v>19565.2173913043</v>
      </c>
      <c r="L48" s="7" t="n">
        <f aca="false">F48/230</f>
        <v>43478.2608695652</v>
      </c>
      <c r="M48" s="7" t="n">
        <f aca="false">AVERAGE(K48,L48)</f>
        <v>31521.7391304348</v>
      </c>
      <c r="N48" s="5" t="s">
        <v>33</v>
      </c>
    </row>
    <row r="49" customFormat="false" ht="15" hidden="false" customHeight="false" outlineLevel="0" collapsed="false">
      <c r="A49" s="12" t="s">
        <v>69</v>
      </c>
      <c r="B49" s="9" t="s">
        <v>70</v>
      </c>
      <c r="C49" s="9" t="s">
        <v>29</v>
      </c>
      <c r="D49" s="10" t="s">
        <v>84</v>
      </c>
      <c r="E49" s="11" t="n">
        <v>4500000</v>
      </c>
      <c r="F49" s="11" t="n">
        <v>10000000</v>
      </c>
      <c r="G49" s="11" t="n">
        <f aca="false">AVERAGE(E49,F49)</f>
        <v>7250000</v>
      </c>
      <c r="H49" s="11" t="n">
        <f aca="false">E49/30</f>
        <v>150000</v>
      </c>
      <c r="I49" s="11" t="n">
        <f aca="false">F49/30</f>
        <v>333333.333333333</v>
      </c>
      <c r="J49" s="11" t="n">
        <f aca="false">AVERAGE(H49,I49)</f>
        <v>241666.666666667</v>
      </c>
      <c r="K49" s="11" t="n">
        <f aca="false">E49/230</f>
        <v>19565.2173913043</v>
      </c>
      <c r="L49" s="11" t="n">
        <f aca="false">F49/230</f>
        <v>43478.2608695652</v>
      </c>
      <c r="M49" s="11" t="n">
        <f aca="false">AVERAGE(K49,L49)</f>
        <v>31521.7391304348</v>
      </c>
      <c r="N49" s="9" t="s">
        <v>33</v>
      </c>
    </row>
    <row r="50" customFormat="false" ht="15" hidden="false" customHeight="false" outlineLevel="0" collapsed="false">
      <c r="A50" s="13" t="s">
        <v>69</v>
      </c>
      <c r="B50" s="5" t="s">
        <v>70</v>
      </c>
      <c r="C50" s="5" t="s">
        <v>34</v>
      </c>
      <c r="D50" s="6" t="s">
        <v>85</v>
      </c>
      <c r="E50" s="7" t="n">
        <v>9000000</v>
      </c>
      <c r="F50" s="7" t="n">
        <v>18000000</v>
      </c>
      <c r="G50" s="7" t="n">
        <f aca="false">AVERAGE(E50,F50)</f>
        <v>13500000</v>
      </c>
      <c r="H50" s="7" t="n">
        <f aca="false">E50/30</f>
        <v>300000</v>
      </c>
      <c r="I50" s="7" t="n">
        <f aca="false">F50/30</f>
        <v>600000</v>
      </c>
      <c r="J50" s="7" t="n">
        <f aca="false">AVERAGE(H50,I50)</f>
        <v>450000</v>
      </c>
      <c r="K50" s="7" t="n">
        <f aca="false">E50/230</f>
        <v>39130.4347826087</v>
      </c>
      <c r="L50" s="7" t="n">
        <f aca="false">F50/230</f>
        <v>78260.8695652174</v>
      </c>
      <c r="M50" s="7" t="n">
        <f aca="false">AVERAGE(K50,L50)</f>
        <v>58695.652173913</v>
      </c>
      <c r="N50" s="5" t="s">
        <v>58</v>
      </c>
    </row>
    <row r="51" customFormat="false" ht="15" hidden="false" customHeight="false" outlineLevel="0" collapsed="false">
      <c r="A51" s="12" t="s">
        <v>69</v>
      </c>
      <c r="B51" s="9" t="s">
        <v>70</v>
      </c>
      <c r="C51" s="9" t="s">
        <v>18</v>
      </c>
      <c r="D51" s="10" t="s">
        <v>86</v>
      </c>
      <c r="E51" s="11" t="n">
        <v>1700000</v>
      </c>
      <c r="F51" s="11" t="n">
        <v>3000000</v>
      </c>
      <c r="G51" s="11" t="n">
        <f aca="false">AVERAGE(E51,F51)</f>
        <v>2350000</v>
      </c>
      <c r="H51" s="11" t="n">
        <f aca="false">E51/30</f>
        <v>56666.6666666667</v>
      </c>
      <c r="I51" s="11" t="n">
        <f aca="false">F51/30</f>
        <v>100000</v>
      </c>
      <c r="J51" s="11" t="n">
        <f aca="false">AVERAGE(H51,I51)</f>
        <v>78333.3333333333</v>
      </c>
      <c r="K51" s="11" t="n">
        <f aca="false">E51/230</f>
        <v>7391.30434782609</v>
      </c>
      <c r="L51" s="11" t="n">
        <f aca="false">F51/230</f>
        <v>13043.4782608696</v>
      </c>
      <c r="M51" s="11" t="n">
        <f aca="false">AVERAGE(K51,L51)</f>
        <v>10217.3913043478</v>
      </c>
      <c r="N51" s="9" t="s">
        <v>25</v>
      </c>
    </row>
    <row r="52" customFormat="false" ht="15" hidden="false" customHeight="false" outlineLevel="0" collapsed="false">
      <c r="A52" s="13" t="s">
        <v>69</v>
      </c>
      <c r="B52" s="5" t="s">
        <v>70</v>
      </c>
      <c r="C52" s="5" t="s">
        <v>23</v>
      </c>
      <c r="D52" s="6" t="s">
        <v>87</v>
      </c>
      <c r="E52" s="7" t="n">
        <v>2200000</v>
      </c>
      <c r="F52" s="7" t="n">
        <v>4000000</v>
      </c>
      <c r="G52" s="7" t="n">
        <f aca="false">AVERAGE(E52,F52)</f>
        <v>3100000</v>
      </c>
      <c r="H52" s="7" t="n">
        <f aca="false">E52/30</f>
        <v>73333.3333333333</v>
      </c>
      <c r="I52" s="7" t="n">
        <f aca="false">F52/30</f>
        <v>133333.333333333</v>
      </c>
      <c r="J52" s="7" t="n">
        <f aca="false">AVERAGE(H52,I52)</f>
        <v>103333.333333333</v>
      </c>
      <c r="K52" s="7" t="n">
        <f aca="false">E52/230</f>
        <v>9565.21739130435</v>
      </c>
      <c r="L52" s="7" t="n">
        <f aca="false">F52/230</f>
        <v>17391.3043478261</v>
      </c>
      <c r="M52" s="7" t="n">
        <f aca="false">AVERAGE(K52,L52)</f>
        <v>13478.2608695652</v>
      </c>
      <c r="N52" s="5" t="s">
        <v>28</v>
      </c>
    </row>
    <row r="53" customFormat="false" ht="15" hidden="false" customHeight="false" outlineLevel="0" collapsed="false">
      <c r="A53" s="12" t="s">
        <v>69</v>
      </c>
      <c r="B53" s="9" t="s">
        <v>70</v>
      </c>
      <c r="C53" s="9" t="s">
        <v>29</v>
      </c>
      <c r="D53" s="10" t="s">
        <v>88</v>
      </c>
      <c r="E53" s="11" t="n">
        <v>4500000</v>
      </c>
      <c r="F53" s="11" t="n">
        <v>10000000</v>
      </c>
      <c r="G53" s="11" t="n">
        <f aca="false">AVERAGE(E53,F53)</f>
        <v>7250000</v>
      </c>
      <c r="H53" s="11" t="n">
        <f aca="false">E53/30</f>
        <v>150000</v>
      </c>
      <c r="I53" s="11" t="n">
        <f aca="false">F53/30</f>
        <v>333333.333333333</v>
      </c>
      <c r="J53" s="11" t="n">
        <f aca="false">AVERAGE(H53,I53)</f>
        <v>241666.666666667</v>
      </c>
      <c r="K53" s="11" t="n">
        <f aca="false">E53/230</f>
        <v>19565.2173913043</v>
      </c>
      <c r="L53" s="11" t="n">
        <f aca="false">F53/230</f>
        <v>43478.2608695652</v>
      </c>
      <c r="M53" s="11" t="n">
        <f aca="false">AVERAGE(K53,L53)</f>
        <v>31521.7391304348</v>
      </c>
      <c r="N53" s="9" t="s">
        <v>33</v>
      </c>
    </row>
    <row r="54" customFormat="false" ht="15" hidden="false" customHeight="false" outlineLevel="0" collapsed="false">
      <c r="A54" s="13" t="s">
        <v>69</v>
      </c>
      <c r="B54" s="5" t="s">
        <v>70</v>
      </c>
      <c r="C54" s="5" t="s">
        <v>37</v>
      </c>
      <c r="D54" s="6" t="s">
        <v>89</v>
      </c>
      <c r="E54" s="7" t="n">
        <v>12000000</v>
      </c>
      <c r="F54" s="7" t="n">
        <v>30000000</v>
      </c>
      <c r="G54" s="7" t="n">
        <f aca="false">AVERAGE(E54,F54)</f>
        <v>21000000</v>
      </c>
      <c r="H54" s="7" t="n">
        <f aca="false">E54/30</f>
        <v>400000</v>
      </c>
      <c r="I54" s="7" t="n">
        <f aca="false">F54/30</f>
        <v>1000000</v>
      </c>
      <c r="J54" s="7" t="n">
        <f aca="false">AVERAGE(H54,I54)</f>
        <v>700000</v>
      </c>
      <c r="K54" s="7" t="n">
        <f aca="false">E54/230</f>
        <v>52173.9130434783</v>
      </c>
      <c r="L54" s="7" t="n">
        <f aca="false">F54/230</f>
        <v>130434.782608696</v>
      </c>
      <c r="M54" s="7" t="n">
        <f aca="false">AVERAGE(K54,L54)</f>
        <v>91304.347826087</v>
      </c>
      <c r="N54" s="5" t="s">
        <v>39</v>
      </c>
    </row>
    <row r="55" customFormat="false" ht="15" hidden="false" customHeight="false" outlineLevel="0" collapsed="false">
      <c r="A55" s="12" t="s">
        <v>69</v>
      </c>
      <c r="B55" s="9" t="s">
        <v>90</v>
      </c>
      <c r="C55" s="9" t="s">
        <v>18</v>
      </c>
      <c r="D55" s="10" t="s">
        <v>91</v>
      </c>
      <c r="E55" s="11" t="n">
        <v>1500000</v>
      </c>
      <c r="F55" s="11" t="n">
        <v>2500000</v>
      </c>
      <c r="G55" s="11" t="n">
        <f aca="false">AVERAGE(E55,F55)</f>
        <v>2000000</v>
      </c>
      <c r="H55" s="11" t="n">
        <f aca="false">E55/30</f>
        <v>50000</v>
      </c>
      <c r="I55" s="11" t="n">
        <f aca="false">F55/30</f>
        <v>83333.3333333333</v>
      </c>
      <c r="J55" s="11" t="n">
        <f aca="false">AVERAGE(H55,I55)</f>
        <v>66666.6666666667</v>
      </c>
      <c r="K55" s="11" t="n">
        <f aca="false">E55/230</f>
        <v>6521.73913043478</v>
      </c>
      <c r="L55" s="11" t="n">
        <f aca="false">F55/230</f>
        <v>10869.5652173913</v>
      </c>
      <c r="M55" s="11" t="n">
        <f aca="false">AVERAGE(K55,L55)</f>
        <v>8695.65217391304</v>
      </c>
      <c r="N55" s="9" t="s">
        <v>92</v>
      </c>
    </row>
    <row r="56" customFormat="false" ht="15" hidden="false" customHeight="false" outlineLevel="0" collapsed="false">
      <c r="A56" s="13" t="s">
        <v>69</v>
      </c>
      <c r="B56" s="5" t="s">
        <v>90</v>
      </c>
      <c r="C56" s="5" t="s">
        <v>18</v>
      </c>
      <c r="D56" s="6" t="s">
        <v>93</v>
      </c>
      <c r="E56" s="7" t="n">
        <v>1423500</v>
      </c>
      <c r="F56" s="7" t="n">
        <v>1800000</v>
      </c>
      <c r="G56" s="7" t="n">
        <f aca="false">AVERAGE(E56,F56)</f>
        <v>1611750</v>
      </c>
      <c r="H56" s="7" t="n">
        <f aca="false">E56/30</f>
        <v>47450</v>
      </c>
      <c r="I56" s="7" t="n">
        <f aca="false">F56/30</f>
        <v>60000</v>
      </c>
      <c r="J56" s="7" t="n">
        <f aca="false">AVERAGE(H56,I56)</f>
        <v>53725</v>
      </c>
      <c r="K56" s="7" t="n">
        <f aca="false">E56/230</f>
        <v>6189.13043478261</v>
      </c>
      <c r="L56" s="7" t="n">
        <f aca="false">F56/230</f>
        <v>7826.08695652174</v>
      </c>
      <c r="M56" s="7" t="n">
        <f aca="false">AVERAGE(K56,L56)</f>
        <v>7007.60869565217</v>
      </c>
      <c r="N56" s="5" t="s">
        <v>94</v>
      </c>
    </row>
    <row r="57" customFormat="false" ht="15" hidden="false" customHeight="false" outlineLevel="0" collapsed="false">
      <c r="A57" s="12" t="s">
        <v>69</v>
      </c>
      <c r="B57" s="9" t="s">
        <v>90</v>
      </c>
      <c r="C57" s="9" t="s">
        <v>18</v>
      </c>
      <c r="D57" s="10" t="s">
        <v>95</v>
      </c>
      <c r="E57" s="11" t="n">
        <v>1700000</v>
      </c>
      <c r="F57" s="11" t="n">
        <v>3000000</v>
      </c>
      <c r="G57" s="11" t="n">
        <f aca="false">AVERAGE(E57,F57)</f>
        <v>2350000</v>
      </c>
      <c r="H57" s="11" t="n">
        <f aca="false">E57/30</f>
        <v>56666.6666666667</v>
      </c>
      <c r="I57" s="11" t="n">
        <f aca="false">F57/30</f>
        <v>100000</v>
      </c>
      <c r="J57" s="11" t="n">
        <f aca="false">AVERAGE(H57,I57)</f>
        <v>78333.3333333333</v>
      </c>
      <c r="K57" s="11" t="n">
        <f aca="false">E57/230</f>
        <v>7391.30434782609</v>
      </c>
      <c r="L57" s="11" t="n">
        <f aca="false">F57/230</f>
        <v>13043.4782608696</v>
      </c>
      <c r="M57" s="11" t="n">
        <f aca="false">AVERAGE(K57,L57)</f>
        <v>10217.3913043478</v>
      </c>
      <c r="N57" s="9" t="s">
        <v>33</v>
      </c>
    </row>
    <row r="58" customFormat="false" ht="15" hidden="false" customHeight="false" outlineLevel="0" collapsed="false">
      <c r="A58" s="13" t="s">
        <v>69</v>
      </c>
      <c r="B58" s="5" t="s">
        <v>90</v>
      </c>
      <c r="C58" s="5" t="s">
        <v>18</v>
      </c>
      <c r="D58" s="6" t="s">
        <v>96</v>
      </c>
      <c r="E58" s="7" t="n">
        <v>1700000</v>
      </c>
      <c r="F58" s="7" t="n">
        <v>3000000</v>
      </c>
      <c r="G58" s="7" t="n">
        <f aca="false">AVERAGE(E58,F58)</f>
        <v>2350000</v>
      </c>
      <c r="H58" s="7" t="n">
        <f aca="false">E58/30</f>
        <v>56666.6666666667</v>
      </c>
      <c r="I58" s="7" t="n">
        <f aca="false">F58/30</f>
        <v>100000</v>
      </c>
      <c r="J58" s="7" t="n">
        <f aca="false">AVERAGE(H58,I58)</f>
        <v>78333.3333333333</v>
      </c>
      <c r="K58" s="7" t="n">
        <f aca="false">E58/230</f>
        <v>7391.30434782609</v>
      </c>
      <c r="L58" s="7" t="n">
        <f aca="false">F58/230</f>
        <v>13043.4782608696</v>
      </c>
      <c r="M58" s="7" t="n">
        <f aca="false">AVERAGE(K58,L58)</f>
        <v>10217.3913043478</v>
      </c>
      <c r="N58" s="5" t="s">
        <v>33</v>
      </c>
    </row>
    <row r="59" customFormat="false" ht="15" hidden="false" customHeight="false" outlineLevel="0" collapsed="false">
      <c r="A59" s="12" t="s">
        <v>69</v>
      </c>
      <c r="B59" s="9" t="s">
        <v>90</v>
      </c>
      <c r="C59" s="9" t="s">
        <v>23</v>
      </c>
      <c r="D59" s="10" t="s">
        <v>97</v>
      </c>
      <c r="E59" s="11" t="n">
        <v>2200000</v>
      </c>
      <c r="F59" s="11" t="n">
        <v>4000000</v>
      </c>
      <c r="G59" s="11" t="n">
        <f aca="false">AVERAGE(E59,F59)</f>
        <v>3100000</v>
      </c>
      <c r="H59" s="11" t="n">
        <f aca="false">E59/30</f>
        <v>73333.3333333333</v>
      </c>
      <c r="I59" s="11" t="n">
        <f aca="false">F59/30</f>
        <v>133333.333333333</v>
      </c>
      <c r="J59" s="11" t="n">
        <f aca="false">AVERAGE(H59,I59)</f>
        <v>103333.333333333</v>
      </c>
      <c r="K59" s="11" t="n">
        <f aca="false">E59/230</f>
        <v>9565.21739130435</v>
      </c>
      <c r="L59" s="11" t="n">
        <f aca="false">F59/230</f>
        <v>17391.3043478261</v>
      </c>
      <c r="M59" s="11" t="n">
        <f aca="false">AVERAGE(K59,L59)</f>
        <v>13478.2608695652</v>
      </c>
      <c r="N59" s="9" t="s">
        <v>28</v>
      </c>
    </row>
    <row r="60" customFormat="false" ht="15" hidden="false" customHeight="false" outlineLevel="0" collapsed="false">
      <c r="A60" s="13" t="s">
        <v>69</v>
      </c>
      <c r="B60" s="5" t="s">
        <v>90</v>
      </c>
      <c r="C60" s="5" t="s">
        <v>23</v>
      </c>
      <c r="D60" s="6" t="s">
        <v>98</v>
      </c>
      <c r="E60" s="7" t="n">
        <v>2500000</v>
      </c>
      <c r="F60" s="7" t="n">
        <v>4500000</v>
      </c>
      <c r="G60" s="7" t="n">
        <f aca="false">AVERAGE(E60,F60)</f>
        <v>3500000</v>
      </c>
      <c r="H60" s="7" t="n">
        <f aca="false">E60/30</f>
        <v>83333.3333333333</v>
      </c>
      <c r="I60" s="7" t="n">
        <f aca="false">F60/30</f>
        <v>150000</v>
      </c>
      <c r="J60" s="7" t="n">
        <f aca="false">AVERAGE(H60,I60)</f>
        <v>116666.666666667</v>
      </c>
      <c r="K60" s="7" t="n">
        <f aca="false">E60/230</f>
        <v>10869.5652173913</v>
      </c>
      <c r="L60" s="7" t="n">
        <f aca="false">F60/230</f>
        <v>19565.2173913043</v>
      </c>
      <c r="M60" s="7" t="n">
        <f aca="false">AVERAGE(K60,L60)</f>
        <v>15217.3913043478</v>
      </c>
      <c r="N60" s="5" t="s">
        <v>28</v>
      </c>
    </row>
    <row r="61" customFormat="false" ht="15" hidden="false" customHeight="false" outlineLevel="0" collapsed="false">
      <c r="A61" s="12" t="s">
        <v>69</v>
      </c>
      <c r="B61" s="9" t="s">
        <v>90</v>
      </c>
      <c r="C61" s="9" t="s">
        <v>29</v>
      </c>
      <c r="D61" s="10" t="s">
        <v>99</v>
      </c>
      <c r="E61" s="11" t="n">
        <v>4000000</v>
      </c>
      <c r="F61" s="11" t="n">
        <v>10000000</v>
      </c>
      <c r="G61" s="11" t="n">
        <f aca="false">AVERAGE(E61,F61)</f>
        <v>7000000</v>
      </c>
      <c r="H61" s="11" t="n">
        <f aca="false">E61/30</f>
        <v>133333.333333333</v>
      </c>
      <c r="I61" s="11" t="n">
        <f aca="false">F61/30</f>
        <v>333333.333333333</v>
      </c>
      <c r="J61" s="11" t="n">
        <f aca="false">AVERAGE(H61,I61)</f>
        <v>233333.333333333</v>
      </c>
      <c r="K61" s="11" t="n">
        <f aca="false">E61/230</f>
        <v>17391.3043478261</v>
      </c>
      <c r="L61" s="11" t="n">
        <f aca="false">F61/230</f>
        <v>43478.2608695652</v>
      </c>
      <c r="M61" s="11" t="n">
        <f aca="false">AVERAGE(K61,L61)</f>
        <v>30434.7826086957</v>
      </c>
      <c r="N61" s="9" t="s">
        <v>100</v>
      </c>
    </row>
    <row r="62" customFormat="false" ht="15" hidden="false" customHeight="false" outlineLevel="0" collapsed="false">
      <c r="A62" s="13" t="s">
        <v>69</v>
      </c>
      <c r="B62" s="5" t="s">
        <v>90</v>
      </c>
      <c r="C62" s="5" t="s">
        <v>29</v>
      </c>
      <c r="D62" s="6" t="s">
        <v>101</v>
      </c>
      <c r="E62" s="7" t="n">
        <v>4500000</v>
      </c>
      <c r="F62" s="7" t="n">
        <v>11000000</v>
      </c>
      <c r="G62" s="7" t="n">
        <f aca="false">AVERAGE(E62,F62)</f>
        <v>7750000</v>
      </c>
      <c r="H62" s="7" t="n">
        <f aca="false">E62/30</f>
        <v>150000</v>
      </c>
      <c r="I62" s="7" t="n">
        <f aca="false">F62/30</f>
        <v>366666.666666667</v>
      </c>
      <c r="J62" s="7" t="n">
        <f aca="false">AVERAGE(H62,I62)</f>
        <v>258333.333333333</v>
      </c>
      <c r="K62" s="7" t="n">
        <f aca="false">E62/230</f>
        <v>19565.2173913043</v>
      </c>
      <c r="L62" s="7" t="n">
        <f aca="false">F62/230</f>
        <v>47826.0869565217</v>
      </c>
      <c r="M62" s="7" t="n">
        <f aca="false">AVERAGE(K62,L62)</f>
        <v>33695.652173913</v>
      </c>
      <c r="N62" s="5" t="s">
        <v>33</v>
      </c>
    </row>
    <row r="63" customFormat="false" ht="15" hidden="false" customHeight="false" outlineLevel="0" collapsed="false">
      <c r="A63" s="12" t="s">
        <v>69</v>
      </c>
      <c r="B63" s="9" t="s">
        <v>90</v>
      </c>
      <c r="C63" s="9" t="s">
        <v>34</v>
      </c>
      <c r="D63" s="10" t="s">
        <v>102</v>
      </c>
      <c r="E63" s="11" t="n">
        <v>9000000</v>
      </c>
      <c r="F63" s="11" t="n">
        <v>20000000</v>
      </c>
      <c r="G63" s="11" t="n">
        <f aca="false">AVERAGE(E63,F63)</f>
        <v>14500000</v>
      </c>
      <c r="H63" s="11" t="n">
        <f aca="false">E63/30</f>
        <v>300000</v>
      </c>
      <c r="I63" s="11" t="n">
        <f aca="false">F63/30</f>
        <v>666666.666666667</v>
      </c>
      <c r="J63" s="11" t="n">
        <f aca="false">AVERAGE(H63,I63)</f>
        <v>483333.333333333</v>
      </c>
      <c r="K63" s="11" t="n">
        <f aca="false">E63/230</f>
        <v>39130.4347826087</v>
      </c>
      <c r="L63" s="11" t="n">
        <f aca="false">F63/230</f>
        <v>86956.5217391304</v>
      </c>
      <c r="M63" s="11" t="n">
        <f aca="false">AVERAGE(K63,L63)</f>
        <v>63043.4782608696</v>
      </c>
      <c r="N63" s="9" t="s">
        <v>58</v>
      </c>
    </row>
    <row r="64" customFormat="false" ht="15" hidden="false" customHeight="false" outlineLevel="0" collapsed="false">
      <c r="A64" s="13" t="s">
        <v>69</v>
      </c>
      <c r="B64" s="5" t="s">
        <v>90</v>
      </c>
      <c r="C64" s="5" t="s">
        <v>37</v>
      </c>
      <c r="D64" s="6" t="s">
        <v>103</v>
      </c>
      <c r="E64" s="7" t="n">
        <v>12000000</v>
      </c>
      <c r="F64" s="7" t="n">
        <v>28000000</v>
      </c>
      <c r="G64" s="7" t="n">
        <f aca="false">AVERAGE(E64,F64)</f>
        <v>20000000</v>
      </c>
      <c r="H64" s="7" t="n">
        <f aca="false">E64/30</f>
        <v>400000</v>
      </c>
      <c r="I64" s="7" t="n">
        <f aca="false">F64/30</f>
        <v>933333.333333333</v>
      </c>
      <c r="J64" s="7" t="n">
        <f aca="false">AVERAGE(H64,I64)</f>
        <v>666666.666666667</v>
      </c>
      <c r="K64" s="7" t="n">
        <f aca="false">E64/230</f>
        <v>52173.9130434783</v>
      </c>
      <c r="L64" s="7" t="n">
        <f aca="false">F64/230</f>
        <v>121739.130434783</v>
      </c>
      <c r="M64" s="7" t="n">
        <f aca="false">AVERAGE(K64,L64)</f>
        <v>86956.5217391304</v>
      </c>
      <c r="N64" s="5" t="s">
        <v>94</v>
      </c>
    </row>
    <row r="65" customFormat="false" ht="15" hidden="false" customHeight="false" outlineLevel="0" collapsed="false">
      <c r="A65" s="12" t="s">
        <v>69</v>
      </c>
      <c r="B65" s="9" t="s">
        <v>104</v>
      </c>
      <c r="C65" s="9" t="s">
        <v>18</v>
      </c>
      <c r="D65" s="10" t="s">
        <v>105</v>
      </c>
      <c r="E65" s="11" t="n">
        <v>1700000</v>
      </c>
      <c r="F65" s="11" t="n">
        <v>3500000</v>
      </c>
      <c r="G65" s="11" t="n">
        <f aca="false">AVERAGE(E65,F65)</f>
        <v>2600000</v>
      </c>
      <c r="H65" s="11" t="n">
        <f aca="false">E65/30</f>
        <v>56666.6666666667</v>
      </c>
      <c r="I65" s="11" t="n">
        <f aca="false">F65/30</f>
        <v>116666.666666667</v>
      </c>
      <c r="J65" s="11" t="n">
        <f aca="false">AVERAGE(H65,I65)</f>
        <v>86666.6666666667</v>
      </c>
      <c r="K65" s="11" t="n">
        <f aca="false">E65/230</f>
        <v>7391.30434782609</v>
      </c>
      <c r="L65" s="11" t="n">
        <f aca="false">F65/230</f>
        <v>15217.3913043478</v>
      </c>
      <c r="M65" s="11" t="n">
        <f aca="false">AVERAGE(K65,L65)</f>
        <v>11304.347826087</v>
      </c>
      <c r="N65" s="9" t="s">
        <v>106</v>
      </c>
    </row>
    <row r="66" customFormat="false" ht="15" hidden="false" customHeight="false" outlineLevel="0" collapsed="false">
      <c r="A66" s="13" t="s">
        <v>69</v>
      </c>
      <c r="B66" s="5" t="s">
        <v>104</v>
      </c>
      <c r="C66" s="5" t="s">
        <v>23</v>
      </c>
      <c r="D66" s="6" t="s">
        <v>107</v>
      </c>
      <c r="E66" s="7" t="n">
        <v>2500000</v>
      </c>
      <c r="F66" s="7" t="n">
        <v>4500000</v>
      </c>
      <c r="G66" s="7" t="n">
        <f aca="false">AVERAGE(E66,F66)</f>
        <v>3500000</v>
      </c>
      <c r="H66" s="7" t="n">
        <f aca="false">E66/30</f>
        <v>83333.3333333333</v>
      </c>
      <c r="I66" s="7" t="n">
        <f aca="false">F66/30</f>
        <v>150000</v>
      </c>
      <c r="J66" s="7" t="n">
        <f aca="false">AVERAGE(H66,I66)</f>
        <v>116666.666666667</v>
      </c>
      <c r="K66" s="7" t="n">
        <f aca="false">E66/230</f>
        <v>10869.5652173913</v>
      </c>
      <c r="L66" s="7" t="n">
        <f aca="false">F66/230</f>
        <v>19565.2173913043</v>
      </c>
      <c r="M66" s="7" t="n">
        <f aca="false">AVERAGE(K66,L66)</f>
        <v>15217.3913043478</v>
      </c>
      <c r="N66" s="5" t="s">
        <v>28</v>
      </c>
    </row>
    <row r="67" customFormat="false" ht="15" hidden="false" customHeight="false" outlineLevel="0" collapsed="false">
      <c r="A67" s="12" t="s">
        <v>69</v>
      </c>
      <c r="B67" s="9" t="s">
        <v>104</v>
      </c>
      <c r="C67" s="9" t="s">
        <v>29</v>
      </c>
      <c r="D67" s="10" t="s">
        <v>108</v>
      </c>
      <c r="E67" s="11" t="n">
        <v>4500000</v>
      </c>
      <c r="F67" s="11" t="n">
        <v>11000000</v>
      </c>
      <c r="G67" s="11" t="n">
        <f aca="false">AVERAGE(E67,F67)</f>
        <v>7750000</v>
      </c>
      <c r="H67" s="11" t="n">
        <f aca="false">E67/30</f>
        <v>150000</v>
      </c>
      <c r="I67" s="11" t="n">
        <f aca="false">F67/30</f>
        <v>366666.666666667</v>
      </c>
      <c r="J67" s="11" t="n">
        <f aca="false">AVERAGE(H67,I67)</f>
        <v>258333.333333333</v>
      </c>
      <c r="K67" s="11" t="n">
        <f aca="false">E67/230</f>
        <v>19565.2173913043</v>
      </c>
      <c r="L67" s="11" t="n">
        <f aca="false">F67/230</f>
        <v>47826.0869565217</v>
      </c>
      <c r="M67" s="11" t="n">
        <f aca="false">AVERAGE(K67,L67)</f>
        <v>33695.652173913</v>
      </c>
      <c r="N67" s="9" t="s">
        <v>33</v>
      </c>
    </row>
    <row r="68" customFormat="false" ht="15" hidden="false" customHeight="false" outlineLevel="0" collapsed="false">
      <c r="A68" s="13" t="s">
        <v>69</v>
      </c>
      <c r="B68" s="5" t="s">
        <v>104</v>
      </c>
      <c r="C68" s="5" t="s">
        <v>29</v>
      </c>
      <c r="D68" s="6" t="s">
        <v>109</v>
      </c>
      <c r="E68" s="7" t="n">
        <v>5000000</v>
      </c>
      <c r="F68" s="7" t="n">
        <v>12000000</v>
      </c>
      <c r="G68" s="7" t="n">
        <f aca="false">AVERAGE(E68,F68)</f>
        <v>8500000</v>
      </c>
      <c r="H68" s="7" t="n">
        <f aca="false">E68/30</f>
        <v>166666.666666667</v>
      </c>
      <c r="I68" s="7" t="n">
        <f aca="false">F68/30</f>
        <v>400000</v>
      </c>
      <c r="J68" s="7" t="n">
        <f aca="false">AVERAGE(H68,I68)</f>
        <v>283333.333333333</v>
      </c>
      <c r="K68" s="7" t="n">
        <f aca="false">E68/230</f>
        <v>21739.1304347826</v>
      </c>
      <c r="L68" s="7" t="n">
        <f aca="false">F68/230</f>
        <v>52173.9130434783</v>
      </c>
      <c r="M68" s="7" t="n">
        <f aca="false">AVERAGE(K68,L68)</f>
        <v>36956.5217391304</v>
      </c>
      <c r="N68" s="5" t="s">
        <v>33</v>
      </c>
    </row>
    <row r="69" customFormat="false" ht="15" hidden="false" customHeight="false" outlineLevel="0" collapsed="false">
      <c r="A69" s="12" t="s">
        <v>69</v>
      </c>
      <c r="B69" s="9" t="s">
        <v>104</v>
      </c>
      <c r="C69" s="9" t="s">
        <v>34</v>
      </c>
      <c r="D69" s="10" t="s">
        <v>110</v>
      </c>
      <c r="E69" s="11" t="n">
        <v>10000000</v>
      </c>
      <c r="F69" s="11" t="n">
        <v>22000000</v>
      </c>
      <c r="G69" s="11" t="n">
        <f aca="false">AVERAGE(E69,F69)</f>
        <v>16000000</v>
      </c>
      <c r="H69" s="11" t="n">
        <f aca="false">E69/30</f>
        <v>333333.333333333</v>
      </c>
      <c r="I69" s="11" t="n">
        <f aca="false">F69/30</f>
        <v>733333.333333333</v>
      </c>
      <c r="J69" s="11" t="n">
        <f aca="false">AVERAGE(H69,I69)</f>
        <v>533333.333333333</v>
      </c>
      <c r="K69" s="11" t="n">
        <f aca="false">E69/230</f>
        <v>43478.2608695652</v>
      </c>
      <c r="L69" s="11" t="n">
        <f aca="false">F69/230</f>
        <v>95652.1739130435</v>
      </c>
      <c r="M69" s="11" t="n">
        <f aca="false">AVERAGE(K69,L69)</f>
        <v>69565.2173913044</v>
      </c>
      <c r="N69" s="9" t="s">
        <v>58</v>
      </c>
    </row>
    <row r="70" customFormat="false" ht="15" hidden="false" customHeight="false" outlineLevel="0" collapsed="false">
      <c r="A70" s="13" t="s">
        <v>69</v>
      </c>
      <c r="B70" s="5" t="s">
        <v>111</v>
      </c>
      <c r="C70" s="5" t="s">
        <v>18</v>
      </c>
      <c r="D70" s="6" t="s">
        <v>112</v>
      </c>
      <c r="E70" s="7" t="n">
        <v>1500000</v>
      </c>
      <c r="F70" s="7" t="n">
        <v>2500000</v>
      </c>
      <c r="G70" s="7" t="n">
        <f aca="false">AVERAGE(E70,F70)</f>
        <v>2000000</v>
      </c>
      <c r="H70" s="7" t="n">
        <f aca="false">E70/30</f>
        <v>50000</v>
      </c>
      <c r="I70" s="7" t="n">
        <f aca="false">F70/30</f>
        <v>83333.3333333333</v>
      </c>
      <c r="J70" s="7" t="n">
        <f aca="false">AVERAGE(H70,I70)</f>
        <v>66666.6666666667</v>
      </c>
      <c r="K70" s="7" t="n">
        <f aca="false">E70/230</f>
        <v>6521.73913043478</v>
      </c>
      <c r="L70" s="7" t="n">
        <f aca="false">F70/230</f>
        <v>10869.5652173913</v>
      </c>
      <c r="M70" s="7" t="n">
        <f aca="false">AVERAGE(K70,L70)</f>
        <v>8695.65217391304</v>
      </c>
      <c r="N70" s="5" t="s">
        <v>33</v>
      </c>
    </row>
    <row r="71" customFormat="false" ht="15" hidden="false" customHeight="false" outlineLevel="0" collapsed="false">
      <c r="A71" s="12" t="s">
        <v>69</v>
      </c>
      <c r="B71" s="9" t="s">
        <v>111</v>
      </c>
      <c r="C71" s="9" t="s">
        <v>23</v>
      </c>
      <c r="D71" s="10" t="s">
        <v>113</v>
      </c>
      <c r="E71" s="11" t="n">
        <v>2000000</v>
      </c>
      <c r="F71" s="11" t="n">
        <v>3500000</v>
      </c>
      <c r="G71" s="11" t="n">
        <f aca="false">AVERAGE(E71,F71)</f>
        <v>2750000</v>
      </c>
      <c r="H71" s="11" t="n">
        <f aca="false">E71/30</f>
        <v>66666.6666666667</v>
      </c>
      <c r="I71" s="11" t="n">
        <f aca="false">F71/30</f>
        <v>116666.666666667</v>
      </c>
      <c r="J71" s="11" t="n">
        <f aca="false">AVERAGE(H71,I71)</f>
        <v>91666.6666666667</v>
      </c>
      <c r="K71" s="11" t="n">
        <f aca="false">E71/230</f>
        <v>8695.65217391304</v>
      </c>
      <c r="L71" s="11" t="n">
        <f aca="false">F71/230</f>
        <v>15217.3913043478</v>
      </c>
      <c r="M71" s="11" t="n">
        <f aca="false">AVERAGE(K71,L71)</f>
        <v>11956.5217391304</v>
      </c>
      <c r="N71" s="9" t="s">
        <v>28</v>
      </c>
    </row>
    <row r="72" customFormat="false" ht="15" hidden="false" customHeight="false" outlineLevel="0" collapsed="false">
      <c r="A72" s="13" t="s">
        <v>69</v>
      </c>
      <c r="B72" s="5" t="s">
        <v>111</v>
      </c>
      <c r="C72" s="5" t="s">
        <v>29</v>
      </c>
      <c r="D72" s="6" t="s">
        <v>114</v>
      </c>
      <c r="E72" s="7" t="n">
        <v>4000000</v>
      </c>
      <c r="F72" s="7" t="n">
        <v>9000000</v>
      </c>
      <c r="G72" s="7" t="n">
        <f aca="false">AVERAGE(E72,F72)</f>
        <v>6500000</v>
      </c>
      <c r="H72" s="7" t="n">
        <f aca="false">E72/30</f>
        <v>133333.333333333</v>
      </c>
      <c r="I72" s="7" t="n">
        <f aca="false">F72/30</f>
        <v>300000</v>
      </c>
      <c r="J72" s="7" t="n">
        <f aca="false">AVERAGE(H72,I72)</f>
        <v>216666.666666667</v>
      </c>
      <c r="K72" s="7" t="n">
        <f aca="false">E72/230</f>
        <v>17391.3043478261</v>
      </c>
      <c r="L72" s="7" t="n">
        <f aca="false">F72/230</f>
        <v>39130.4347826087</v>
      </c>
      <c r="M72" s="7" t="n">
        <f aca="false">AVERAGE(K72,L72)</f>
        <v>28260.8695652174</v>
      </c>
      <c r="N72" s="5" t="s">
        <v>33</v>
      </c>
    </row>
    <row r="73" customFormat="false" ht="15" hidden="false" customHeight="false" outlineLevel="0" collapsed="false">
      <c r="A73" s="12" t="s">
        <v>69</v>
      </c>
      <c r="B73" s="9" t="s">
        <v>111</v>
      </c>
      <c r="C73" s="9" t="s">
        <v>29</v>
      </c>
      <c r="D73" s="10" t="s">
        <v>115</v>
      </c>
      <c r="E73" s="11" t="n">
        <v>4000000</v>
      </c>
      <c r="F73" s="11" t="n">
        <v>9000000</v>
      </c>
      <c r="G73" s="11" t="n">
        <f aca="false">AVERAGE(E73,F73)</f>
        <v>6500000</v>
      </c>
      <c r="H73" s="11" t="n">
        <f aca="false">E73/30</f>
        <v>133333.333333333</v>
      </c>
      <c r="I73" s="11" t="n">
        <f aca="false">F73/30</f>
        <v>300000</v>
      </c>
      <c r="J73" s="11" t="n">
        <f aca="false">AVERAGE(H73,I73)</f>
        <v>216666.666666667</v>
      </c>
      <c r="K73" s="11" t="n">
        <f aca="false">E73/230</f>
        <v>17391.3043478261</v>
      </c>
      <c r="L73" s="11" t="n">
        <f aca="false">F73/230</f>
        <v>39130.4347826087</v>
      </c>
      <c r="M73" s="11" t="n">
        <f aca="false">AVERAGE(K73,L73)</f>
        <v>28260.8695652174</v>
      </c>
      <c r="N73" s="9" t="s">
        <v>33</v>
      </c>
    </row>
    <row r="74" customFormat="false" ht="15" hidden="false" customHeight="false" outlineLevel="0" collapsed="false">
      <c r="A74" s="14" t="s">
        <v>116</v>
      </c>
      <c r="B74" s="5" t="s">
        <v>117</v>
      </c>
      <c r="C74" s="5" t="s">
        <v>18</v>
      </c>
      <c r="D74" s="6" t="s">
        <v>118</v>
      </c>
      <c r="E74" s="7" t="n">
        <v>1423500</v>
      </c>
      <c r="F74" s="7" t="n">
        <v>2500000</v>
      </c>
      <c r="G74" s="7" t="n">
        <f aca="false">AVERAGE(E74,F74)</f>
        <v>1961750</v>
      </c>
      <c r="H74" s="7" t="n">
        <f aca="false">E74/30</f>
        <v>47450</v>
      </c>
      <c r="I74" s="7" t="n">
        <f aca="false">F74/30</f>
        <v>83333.3333333333</v>
      </c>
      <c r="J74" s="7" t="n">
        <f aca="false">AVERAGE(H74,I74)</f>
        <v>65391.6666666667</v>
      </c>
      <c r="K74" s="7" t="n">
        <f aca="false">E74/230</f>
        <v>6189.13043478261</v>
      </c>
      <c r="L74" s="7" t="n">
        <f aca="false">F74/230</f>
        <v>10869.5652173913</v>
      </c>
      <c r="M74" s="7" t="n">
        <f aca="false">AVERAGE(K74,L74)</f>
        <v>8529.34782608696</v>
      </c>
      <c r="N74" s="5" t="s">
        <v>33</v>
      </c>
    </row>
    <row r="75" customFormat="false" ht="15" hidden="false" customHeight="false" outlineLevel="0" collapsed="false">
      <c r="A75" s="15" t="s">
        <v>116</v>
      </c>
      <c r="B75" s="9" t="s">
        <v>117</v>
      </c>
      <c r="C75" s="9" t="s">
        <v>18</v>
      </c>
      <c r="D75" s="10" t="s">
        <v>119</v>
      </c>
      <c r="E75" s="11" t="n">
        <v>1423500</v>
      </c>
      <c r="F75" s="11" t="n">
        <v>1900000</v>
      </c>
      <c r="G75" s="11" t="n">
        <f aca="false">AVERAGE(E75,F75)</f>
        <v>1661750</v>
      </c>
      <c r="H75" s="11" t="n">
        <f aca="false">E75/30</f>
        <v>47450</v>
      </c>
      <c r="I75" s="11" t="n">
        <f aca="false">F75/30</f>
        <v>63333.3333333333</v>
      </c>
      <c r="J75" s="11" t="n">
        <f aca="false">AVERAGE(H75,I75)</f>
        <v>55391.6666666667</v>
      </c>
      <c r="K75" s="11" t="n">
        <f aca="false">E75/230</f>
        <v>6189.13043478261</v>
      </c>
      <c r="L75" s="11" t="n">
        <f aca="false">F75/230</f>
        <v>8260.86956521739</v>
      </c>
      <c r="M75" s="11" t="n">
        <f aca="false">AVERAGE(K75,L75)</f>
        <v>7225</v>
      </c>
      <c r="N75" s="9" t="s">
        <v>33</v>
      </c>
    </row>
    <row r="76" customFormat="false" ht="15" hidden="false" customHeight="false" outlineLevel="0" collapsed="false">
      <c r="A76" s="14" t="s">
        <v>116</v>
      </c>
      <c r="B76" s="5" t="s">
        <v>117</v>
      </c>
      <c r="C76" s="5" t="s">
        <v>23</v>
      </c>
      <c r="D76" s="6" t="s">
        <v>120</v>
      </c>
      <c r="E76" s="7" t="n">
        <v>2000000</v>
      </c>
      <c r="F76" s="7" t="n">
        <v>3500000</v>
      </c>
      <c r="G76" s="7" t="n">
        <f aca="false">AVERAGE(E76,F76)</f>
        <v>2750000</v>
      </c>
      <c r="H76" s="7" t="n">
        <f aca="false">E76/30</f>
        <v>66666.6666666667</v>
      </c>
      <c r="I76" s="7" t="n">
        <f aca="false">F76/30</f>
        <v>116666.666666667</v>
      </c>
      <c r="J76" s="7" t="n">
        <f aca="false">AVERAGE(H76,I76)</f>
        <v>91666.6666666667</v>
      </c>
      <c r="K76" s="7" t="n">
        <f aca="false">E76/230</f>
        <v>8695.65217391304</v>
      </c>
      <c r="L76" s="7" t="n">
        <f aca="false">F76/230</f>
        <v>15217.3913043478</v>
      </c>
      <c r="M76" s="7" t="n">
        <f aca="false">AVERAGE(K76,L76)</f>
        <v>11956.5217391304</v>
      </c>
      <c r="N76" s="5" t="s">
        <v>28</v>
      </c>
    </row>
    <row r="77" customFormat="false" ht="15" hidden="false" customHeight="false" outlineLevel="0" collapsed="false">
      <c r="A77" s="15" t="s">
        <v>116</v>
      </c>
      <c r="B77" s="9" t="s">
        <v>117</v>
      </c>
      <c r="C77" s="9" t="s">
        <v>29</v>
      </c>
      <c r="D77" s="10" t="s">
        <v>121</v>
      </c>
      <c r="E77" s="11" t="n">
        <v>3500000</v>
      </c>
      <c r="F77" s="11" t="n">
        <v>8000000</v>
      </c>
      <c r="G77" s="11" t="n">
        <f aca="false">AVERAGE(E77,F77)</f>
        <v>5750000</v>
      </c>
      <c r="H77" s="11" t="n">
        <f aca="false">E77/30</f>
        <v>116666.666666667</v>
      </c>
      <c r="I77" s="11" t="n">
        <f aca="false">F77/30</f>
        <v>266666.666666667</v>
      </c>
      <c r="J77" s="11" t="n">
        <f aca="false">AVERAGE(H77,I77)</f>
        <v>191666.666666667</v>
      </c>
      <c r="K77" s="11" t="n">
        <f aca="false">E77/230</f>
        <v>15217.3913043478</v>
      </c>
      <c r="L77" s="11" t="n">
        <f aca="false">F77/230</f>
        <v>34782.6086956522</v>
      </c>
      <c r="M77" s="11" t="n">
        <f aca="false">AVERAGE(K77,L77)</f>
        <v>25000</v>
      </c>
      <c r="N77" s="9" t="s">
        <v>33</v>
      </c>
    </row>
    <row r="78" customFormat="false" ht="15" hidden="false" customHeight="false" outlineLevel="0" collapsed="false">
      <c r="A78" s="14" t="s">
        <v>116</v>
      </c>
      <c r="B78" s="5" t="s">
        <v>117</v>
      </c>
      <c r="C78" s="5" t="s">
        <v>34</v>
      </c>
      <c r="D78" s="6" t="s">
        <v>122</v>
      </c>
      <c r="E78" s="7" t="n">
        <v>7000000</v>
      </c>
      <c r="F78" s="7" t="n">
        <v>15000000</v>
      </c>
      <c r="G78" s="7" t="n">
        <f aca="false">AVERAGE(E78,F78)</f>
        <v>11000000</v>
      </c>
      <c r="H78" s="7" t="n">
        <f aca="false">E78/30</f>
        <v>233333.333333333</v>
      </c>
      <c r="I78" s="7" t="n">
        <f aca="false">F78/30</f>
        <v>500000</v>
      </c>
      <c r="J78" s="7" t="n">
        <f aca="false">AVERAGE(H78,I78)</f>
        <v>366666.666666667</v>
      </c>
      <c r="K78" s="7" t="n">
        <f aca="false">E78/230</f>
        <v>30434.7826086957</v>
      </c>
      <c r="L78" s="7" t="n">
        <f aca="false">F78/230</f>
        <v>65217.3913043478</v>
      </c>
      <c r="M78" s="7" t="n">
        <f aca="false">AVERAGE(K78,L78)</f>
        <v>47826.0869565217</v>
      </c>
      <c r="N78" s="5" t="s">
        <v>58</v>
      </c>
    </row>
    <row r="79" customFormat="false" ht="15" hidden="false" customHeight="false" outlineLevel="0" collapsed="false">
      <c r="A79" s="15" t="s">
        <v>116</v>
      </c>
      <c r="B79" s="9" t="s">
        <v>117</v>
      </c>
      <c r="C79" s="9" t="s">
        <v>37</v>
      </c>
      <c r="D79" s="10" t="s">
        <v>123</v>
      </c>
      <c r="E79" s="11" t="n">
        <v>10000000</v>
      </c>
      <c r="F79" s="11" t="n">
        <v>25000000</v>
      </c>
      <c r="G79" s="11" t="n">
        <f aca="false">AVERAGE(E79,F79)</f>
        <v>17500000</v>
      </c>
      <c r="H79" s="11" t="n">
        <f aca="false">E79/30</f>
        <v>333333.333333333</v>
      </c>
      <c r="I79" s="11" t="n">
        <f aca="false">F79/30</f>
        <v>833333.333333333</v>
      </c>
      <c r="J79" s="11" t="n">
        <f aca="false">AVERAGE(H79,I79)</f>
        <v>583333.333333333</v>
      </c>
      <c r="K79" s="11" t="n">
        <f aca="false">E79/230</f>
        <v>43478.2608695652</v>
      </c>
      <c r="L79" s="11" t="n">
        <f aca="false">F79/230</f>
        <v>108695.652173913</v>
      </c>
      <c r="M79" s="11" t="n">
        <f aca="false">AVERAGE(K79,L79)</f>
        <v>76086.9565217391</v>
      </c>
      <c r="N79" s="9" t="s">
        <v>39</v>
      </c>
    </row>
    <row r="80" customFormat="false" ht="15" hidden="false" customHeight="false" outlineLevel="0" collapsed="false">
      <c r="A80" s="14" t="s">
        <v>116</v>
      </c>
      <c r="B80" s="5" t="s">
        <v>124</v>
      </c>
      <c r="C80" s="5" t="s">
        <v>18</v>
      </c>
      <c r="D80" s="6" t="s">
        <v>125</v>
      </c>
      <c r="E80" s="7" t="n">
        <v>1700000</v>
      </c>
      <c r="F80" s="7" t="n">
        <v>3000000</v>
      </c>
      <c r="G80" s="7" t="n">
        <f aca="false">AVERAGE(E80,F80)</f>
        <v>2350000</v>
      </c>
      <c r="H80" s="7" t="n">
        <f aca="false">E80/30</f>
        <v>56666.6666666667</v>
      </c>
      <c r="I80" s="7" t="n">
        <f aca="false">F80/30</f>
        <v>100000</v>
      </c>
      <c r="J80" s="7" t="n">
        <f aca="false">AVERAGE(H80,I80)</f>
        <v>78333.3333333333</v>
      </c>
      <c r="K80" s="7" t="n">
        <f aca="false">E80/230</f>
        <v>7391.30434782609</v>
      </c>
      <c r="L80" s="7" t="n">
        <f aca="false">F80/230</f>
        <v>13043.4782608696</v>
      </c>
      <c r="M80" s="7" t="n">
        <f aca="false">AVERAGE(K80,L80)</f>
        <v>10217.3913043478</v>
      </c>
      <c r="N80" s="5" t="s">
        <v>33</v>
      </c>
    </row>
    <row r="81" customFormat="false" ht="15" hidden="false" customHeight="false" outlineLevel="0" collapsed="false">
      <c r="A81" s="15" t="s">
        <v>116</v>
      </c>
      <c r="B81" s="9" t="s">
        <v>124</v>
      </c>
      <c r="C81" s="9" t="s">
        <v>18</v>
      </c>
      <c r="D81" s="10" t="s">
        <v>126</v>
      </c>
      <c r="E81" s="11" t="n">
        <v>1423500</v>
      </c>
      <c r="F81" s="11" t="n">
        <v>2500000</v>
      </c>
      <c r="G81" s="11" t="n">
        <f aca="false">AVERAGE(E81,F81)</f>
        <v>1961750</v>
      </c>
      <c r="H81" s="11" t="n">
        <f aca="false">E81/30</f>
        <v>47450</v>
      </c>
      <c r="I81" s="11" t="n">
        <f aca="false">F81/30</f>
        <v>83333.3333333333</v>
      </c>
      <c r="J81" s="11" t="n">
        <f aca="false">AVERAGE(H81,I81)</f>
        <v>65391.6666666667</v>
      </c>
      <c r="K81" s="11" t="n">
        <f aca="false">E81/230</f>
        <v>6189.13043478261</v>
      </c>
      <c r="L81" s="11" t="n">
        <f aca="false">F81/230</f>
        <v>10869.5652173913</v>
      </c>
      <c r="M81" s="11" t="n">
        <f aca="false">AVERAGE(K81,L81)</f>
        <v>8529.34782608696</v>
      </c>
      <c r="N81" s="9" t="s">
        <v>33</v>
      </c>
    </row>
    <row r="82" customFormat="false" ht="15" hidden="false" customHeight="false" outlineLevel="0" collapsed="false">
      <c r="A82" s="14" t="s">
        <v>116</v>
      </c>
      <c r="B82" s="5" t="s">
        <v>124</v>
      </c>
      <c r="C82" s="5" t="s">
        <v>18</v>
      </c>
      <c r="D82" s="6" t="s">
        <v>127</v>
      </c>
      <c r="E82" s="7" t="n">
        <v>1423500</v>
      </c>
      <c r="F82" s="7" t="n">
        <v>2000000</v>
      </c>
      <c r="G82" s="7" t="n">
        <f aca="false">AVERAGE(E82,F82)</f>
        <v>1711750</v>
      </c>
      <c r="H82" s="7" t="n">
        <f aca="false">E82/30</f>
        <v>47450</v>
      </c>
      <c r="I82" s="7" t="n">
        <f aca="false">F82/30</f>
        <v>66666.6666666667</v>
      </c>
      <c r="J82" s="7" t="n">
        <f aca="false">AVERAGE(H82,I82)</f>
        <v>57058.3333333333</v>
      </c>
      <c r="K82" s="7" t="n">
        <f aca="false">E82/230</f>
        <v>6189.13043478261</v>
      </c>
      <c r="L82" s="7" t="n">
        <f aca="false">F82/230</f>
        <v>8695.65217391304</v>
      </c>
      <c r="M82" s="7" t="n">
        <f aca="false">AVERAGE(K82,L82)</f>
        <v>7442.39130434783</v>
      </c>
      <c r="N82" s="5" t="s">
        <v>33</v>
      </c>
    </row>
    <row r="83" customFormat="false" ht="15" hidden="false" customHeight="false" outlineLevel="0" collapsed="false">
      <c r="A83" s="15" t="s">
        <v>116</v>
      </c>
      <c r="B83" s="9" t="s">
        <v>124</v>
      </c>
      <c r="C83" s="9" t="s">
        <v>23</v>
      </c>
      <c r="D83" s="10" t="s">
        <v>128</v>
      </c>
      <c r="E83" s="11" t="n">
        <v>2000000</v>
      </c>
      <c r="F83" s="11" t="n">
        <v>3800000</v>
      </c>
      <c r="G83" s="11" t="n">
        <f aca="false">AVERAGE(E83,F83)</f>
        <v>2900000</v>
      </c>
      <c r="H83" s="11" t="n">
        <f aca="false">E83/30</f>
        <v>66666.6666666667</v>
      </c>
      <c r="I83" s="11" t="n">
        <f aca="false">F83/30</f>
        <v>126666.666666667</v>
      </c>
      <c r="J83" s="11" t="n">
        <f aca="false">AVERAGE(H83,I83)</f>
        <v>96666.6666666667</v>
      </c>
      <c r="K83" s="11" t="n">
        <f aca="false">E83/230</f>
        <v>8695.65217391304</v>
      </c>
      <c r="L83" s="11" t="n">
        <f aca="false">F83/230</f>
        <v>16521.7391304348</v>
      </c>
      <c r="M83" s="11" t="n">
        <f aca="false">AVERAGE(K83,L83)</f>
        <v>12608.6956521739</v>
      </c>
      <c r="N83" s="9" t="s">
        <v>28</v>
      </c>
    </row>
    <row r="84" customFormat="false" ht="15" hidden="false" customHeight="false" outlineLevel="0" collapsed="false">
      <c r="A84" s="14" t="s">
        <v>116</v>
      </c>
      <c r="B84" s="5" t="s">
        <v>124</v>
      </c>
      <c r="C84" s="5" t="s">
        <v>29</v>
      </c>
      <c r="D84" s="6" t="s">
        <v>129</v>
      </c>
      <c r="E84" s="7" t="n">
        <v>4000000</v>
      </c>
      <c r="F84" s="7" t="n">
        <v>9000000</v>
      </c>
      <c r="G84" s="7" t="n">
        <f aca="false">AVERAGE(E84,F84)</f>
        <v>6500000</v>
      </c>
      <c r="H84" s="7" t="n">
        <f aca="false">E84/30</f>
        <v>133333.333333333</v>
      </c>
      <c r="I84" s="7" t="n">
        <f aca="false">F84/30</f>
        <v>300000</v>
      </c>
      <c r="J84" s="7" t="n">
        <f aca="false">AVERAGE(H84,I84)</f>
        <v>216666.666666667</v>
      </c>
      <c r="K84" s="7" t="n">
        <f aca="false">E84/230</f>
        <v>17391.3043478261</v>
      </c>
      <c r="L84" s="7" t="n">
        <f aca="false">F84/230</f>
        <v>39130.4347826087</v>
      </c>
      <c r="M84" s="7" t="n">
        <f aca="false">AVERAGE(K84,L84)</f>
        <v>28260.8695652174</v>
      </c>
      <c r="N84" s="5" t="s">
        <v>33</v>
      </c>
    </row>
    <row r="85" customFormat="false" ht="15" hidden="false" customHeight="false" outlineLevel="0" collapsed="false">
      <c r="A85" s="15" t="s">
        <v>116</v>
      </c>
      <c r="B85" s="9" t="s">
        <v>124</v>
      </c>
      <c r="C85" s="9" t="s">
        <v>29</v>
      </c>
      <c r="D85" s="10" t="s">
        <v>130</v>
      </c>
      <c r="E85" s="11" t="n">
        <v>4500000</v>
      </c>
      <c r="F85" s="11" t="n">
        <v>10000000</v>
      </c>
      <c r="G85" s="11" t="n">
        <f aca="false">AVERAGE(E85,F85)</f>
        <v>7250000</v>
      </c>
      <c r="H85" s="11" t="n">
        <f aca="false">E85/30</f>
        <v>150000</v>
      </c>
      <c r="I85" s="11" t="n">
        <f aca="false">F85/30</f>
        <v>333333.333333333</v>
      </c>
      <c r="J85" s="11" t="n">
        <f aca="false">AVERAGE(H85,I85)</f>
        <v>241666.666666667</v>
      </c>
      <c r="K85" s="11" t="n">
        <f aca="false">E85/230</f>
        <v>19565.2173913043</v>
      </c>
      <c r="L85" s="11" t="n">
        <f aca="false">F85/230</f>
        <v>43478.2608695652</v>
      </c>
      <c r="M85" s="11" t="n">
        <f aca="false">AVERAGE(K85,L85)</f>
        <v>31521.7391304348</v>
      </c>
      <c r="N85" s="9" t="s">
        <v>33</v>
      </c>
    </row>
    <row r="86" customFormat="false" ht="15" hidden="false" customHeight="false" outlineLevel="0" collapsed="false">
      <c r="A86" s="14" t="s">
        <v>116</v>
      </c>
      <c r="B86" s="5" t="s">
        <v>124</v>
      </c>
      <c r="C86" s="5" t="s">
        <v>34</v>
      </c>
      <c r="D86" s="6" t="s">
        <v>131</v>
      </c>
      <c r="E86" s="7" t="n">
        <v>9000000</v>
      </c>
      <c r="F86" s="7" t="n">
        <v>20000000</v>
      </c>
      <c r="G86" s="7" t="n">
        <f aca="false">AVERAGE(E86,F86)</f>
        <v>14500000</v>
      </c>
      <c r="H86" s="7" t="n">
        <f aca="false">E86/30</f>
        <v>300000</v>
      </c>
      <c r="I86" s="7" t="n">
        <f aca="false">F86/30</f>
        <v>666666.666666667</v>
      </c>
      <c r="J86" s="7" t="n">
        <f aca="false">AVERAGE(H86,I86)</f>
        <v>483333.333333333</v>
      </c>
      <c r="K86" s="7" t="n">
        <f aca="false">E86/230</f>
        <v>39130.4347826087</v>
      </c>
      <c r="L86" s="7" t="n">
        <f aca="false">F86/230</f>
        <v>86956.5217391304</v>
      </c>
      <c r="M86" s="7" t="n">
        <f aca="false">AVERAGE(K86,L86)</f>
        <v>63043.4782608696</v>
      </c>
      <c r="N86" s="5" t="s">
        <v>58</v>
      </c>
    </row>
    <row r="87" customFormat="false" ht="15" hidden="false" customHeight="false" outlineLevel="0" collapsed="false">
      <c r="A87" s="15" t="s">
        <v>116</v>
      </c>
      <c r="B87" s="9" t="s">
        <v>124</v>
      </c>
      <c r="C87" s="9" t="s">
        <v>37</v>
      </c>
      <c r="D87" s="10" t="s">
        <v>132</v>
      </c>
      <c r="E87" s="11" t="n">
        <v>12000000</v>
      </c>
      <c r="F87" s="11" t="n">
        <v>28000000</v>
      </c>
      <c r="G87" s="11" t="n">
        <f aca="false">AVERAGE(E87,F87)</f>
        <v>20000000</v>
      </c>
      <c r="H87" s="11" t="n">
        <f aca="false">E87/30</f>
        <v>400000</v>
      </c>
      <c r="I87" s="11" t="n">
        <f aca="false">F87/30</f>
        <v>933333.333333333</v>
      </c>
      <c r="J87" s="11" t="n">
        <f aca="false">AVERAGE(H87,I87)</f>
        <v>666666.666666667</v>
      </c>
      <c r="K87" s="11" t="n">
        <f aca="false">E87/230</f>
        <v>52173.9130434783</v>
      </c>
      <c r="L87" s="11" t="n">
        <f aca="false">F87/230</f>
        <v>121739.130434783</v>
      </c>
      <c r="M87" s="11" t="n">
        <f aca="false">AVERAGE(K87,L87)</f>
        <v>86956.5217391304</v>
      </c>
      <c r="N87" s="9" t="s">
        <v>39</v>
      </c>
    </row>
    <row r="88" customFormat="false" ht="15" hidden="false" customHeight="false" outlineLevel="0" collapsed="false">
      <c r="A88" s="14" t="s">
        <v>116</v>
      </c>
      <c r="B88" s="5" t="s">
        <v>133</v>
      </c>
      <c r="C88" s="5" t="s">
        <v>18</v>
      </c>
      <c r="D88" s="6" t="s">
        <v>134</v>
      </c>
      <c r="E88" s="7" t="n">
        <v>1423500</v>
      </c>
      <c r="F88" s="7" t="n">
        <v>1900000</v>
      </c>
      <c r="G88" s="7" t="n">
        <f aca="false">AVERAGE(E88,F88)</f>
        <v>1661750</v>
      </c>
      <c r="H88" s="7" t="n">
        <f aca="false">E88/30</f>
        <v>47450</v>
      </c>
      <c r="I88" s="7" t="n">
        <f aca="false">F88/30</f>
        <v>63333.3333333333</v>
      </c>
      <c r="J88" s="7" t="n">
        <f aca="false">AVERAGE(H88,I88)</f>
        <v>55391.6666666667</v>
      </c>
      <c r="K88" s="7" t="n">
        <f aca="false">E88/230</f>
        <v>6189.13043478261</v>
      </c>
      <c r="L88" s="7" t="n">
        <f aca="false">F88/230</f>
        <v>8260.86956521739</v>
      </c>
      <c r="M88" s="7" t="n">
        <f aca="false">AVERAGE(K88,L88)</f>
        <v>7225</v>
      </c>
      <c r="N88" s="5" t="s">
        <v>135</v>
      </c>
    </row>
    <row r="89" customFormat="false" ht="15" hidden="false" customHeight="false" outlineLevel="0" collapsed="false">
      <c r="A89" s="15" t="s">
        <v>116</v>
      </c>
      <c r="B89" s="9" t="s">
        <v>133</v>
      </c>
      <c r="C89" s="9" t="s">
        <v>18</v>
      </c>
      <c r="D89" s="10" t="s">
        <v>136</v>
      </c>
      <c r="E89" s="11" t="n">
        <v>1423500</v>
      </c>
      <c r="F89" s="11" t="n">
        <v>2200000</v>
      </c>
      <c r="G89" s="11" t="n">
        <f aca="false">AVERAGE(E89,F89)</f>
        <v>1811750</v>
      </c>
      <c r="H89" s="11" t="n">
        <f aca="false">E89/30</f>
        <v>47450</v>
      </c>
      <c r="I89" s="11" t="n">
        <f aca="false">F89/30</f>
        <v>73333.3333333333</v>
      </c>
      <c r="J89" s="11" t="n">
        <f aca="false">AVERAGE(H89,I89)</f>
        <v>60391.6666666667</v>
      </c>
      <c r="K89" s="11" t="n">
        <f aca="false">E89/230</f>
        <v>6189.13043478261</v>
      </c>
      <c r="L89" s="11" t="n">
        <f aca="false">F89/230</f>
        <v>9565.21739130435</v>
      </c>
      <c r="M89" s="11" t="n">
        <f aca="false">AVERAGE(K89,L89)</f>
        <v>7877.17391304348</v>
      </c>
      <c r="N89" s="9" t="s">
        <v>33</v>
      </c>
    </row>
    <row r="90" customFormat="false" ht="15" hidden="false" customHeight="false" outlineLevel="0" collapsed="false">
      <c r="A90" s="14" t="s">
        <v>116</v>
      </c>
      <c r="B90" s="5" t="s">
        <v>133</v>
      </c>
      <c r="C90" s="5" t="s">
        <v>23</v>
      </c>
      <c r="D90" s="6" t="s">
        <v>137</v>
      </c>
      <c r="E90" s="7" t="n">
        <v>2000000</v>
      </c>
      <c r="F90" s="7" t="n">
        <v>3500000</v>
      </c>
      <c r="G90" s="7" t="n">
        <f aca="false">AVERAGE(E90,F90)</f>
        <v>2750000</v>
      </c>
      <c r="H90" s="7" t="n">
        <f aca="false">E90/30</f>
        <v>66666.6666666667</v>
      </c>
      <c r="I90" s="7" t="n">
        <f aca="false">F90/30</f>
        <v>116666.666666667</v>
      </c>
      <c r="J90" s="7" t="n">
        <f aca="false">AVERAGE(H90,I90)</f>
        <v>91666.6666666667</v>
      </c>
      <c r="K90" s="7" t="n">
        <f aca="false">E90/230</f>
        <v>8695.65217391304</v>
      </c>
      <c r="L90" s="7" t="n">
        <f aca="false">F90/230</f>
        <v>15217.3913043478</v>
      </c>
      <c r="M90" s="7" t="n">
        <f aca="false">AVERAGE(K90,L90)</f>
        <v>11956.5217391304</v>
      </c>
      <c r="N90" s="5" t="s">
        <v>28</v>
      </c>
    </row>
    <row r="91" customFormat="false" ht="15" hidden="false" customHeight="false" outlineLevel="0" collapsed="false">
      <c r="A91" s="15" t="s">
        <v>116</v>
      </c>
      <c r="B91" s="9" t="s">
        <v>133</v>
      </c>
      <c r="C91" s="9" t="s">
        <v>23</v>
      </c>
      <c r="D91" s="10" t="s">
        <v>138</v>
      </c>
      <c r="E91" s="11" t="n">
        <v>2000000</v>
      </c>
      <c r="F91" s="11" t="n">
        <v>3500000</v>
      </c>
      <c r="G91" s="11" t="n">
        <f aca="false">AVERAGE(E91,F91)</f>
        <v>2750000</v>
      </c>
      <c r="H91" s="11" t="n">
        <f aca="false">E91/30</f>
        <v>66666.6666666667</v>
      </c>
      <c r="I91" s="11" t="n">
        <f aca="false">F91/30</f>
        <v>116666.666666667</v>
      </c>
      <c r="J91" s="11" t="n">
        <f aca="false">AVERAGE(H91,I91)</f>
        <v>91666.6666666667</v>
      </c>
      <c r="K91" s="11" t="n">
        <f aca="false">E91/230</f>
        <v>8695.65217391304</v>
      </c>
      <c r="L91" s="11" t="n">
        <f aca="false">F91/230</f>
        <v>15217.3913043478</v>
      </c>
      <c r="M91" s="11" t="n">
        <f aca="false">AVERAGE(K91,L91)</f>
        <v>11956.5217391304</v>
      </c>
      <c r="N91" s="9" t="s">
        <v>28</v>
      </c>
    </row>
    <row r="92" customFormat="false" ht="15" hidden="false" customHeight="false" outlineLevel="0" collapsed="false">
      <c r="A92" s="14" t="s">
        <v>116</v>
      </c>
      <c r="B92" s="5" t="s">
        <v>133</v>
      </c>
      <c r="C92" s="5" t="s">
        <v>29</v>
      </c>
      <c r="D92" s="6" t="s">
        <v>139</v>
      </c>
      <c r="E92" s="7" t="n">
        <v>3000000</v>
      </c>
      <c r="F92" s="7" t="n">
        <v>7000000</v>
      </c>
      <c r="G92" s="7" t="n">
        <f aca="false">AVERAGE(E92,F92)</f>
        <v>5000000</v>
      </c>
      <c r="H92" s="7" t="n">
        <f aca="false">E92/30</f>
        <v>100000</v>
      </c>
      <c r="I92" s="7" t="n">
        <f aca="false">F92/30</f>
        <v>233333.333333333</v>
      </c>
      <c r="J92" s="7" t="n">
        <f aca="false">AVERAGE(H92,I92)</f>
        <v>166666.666666667</v>
      </c>
      <c r="K92" s="7" t="n">
        <f aca="false">E92/230</f>
        <v>13043.4782608696</v>
      </c>
      <c r="L92" s="7" t="n">
        <f aca="false">F92/230</f>
        <v>30434.7826086957</v>
      </c>
      <c r="M92" s="7" t="n">
        <f aca="false">AVERAGE(K92,L92)</f>
        <v>21739.1304347826</v>
      </c>
      <c r="N92" s="5" t="s">
        <v>33</v>
      </c>
    </row>
    <row r="93" customFormat="false" ht="15" hidden="false" customHeight="false" outlineLevel="0" collapsed="false">
      <c r="A93" s="15" t="s">
        <v>116</v>
      </c>
      <c r="B93" s="9" t="s">
        <v>133</v>
      </c>
      <c r="C93" s="9" t="s">
        <v>29</v>
      </c>
      <c r="D93" s="10" t="s">
        <v>140</v>
      </c>
      <c r="E93" s="11" t="n">
        <v>4000000</v>
      </c>
      <c r="F93" s="11" t="n">
        <v>10000000</v>
      </c>
      <c r="G93" s="11" t="n">
        <f aca="false">AVERAGE(E93,F93)</f>
        <v>7000000</v>
      </c>
      <c r="H93" s="11" t="n">
        <f aca="false">E93/30</f>
        <v>133333.333333333</v>
      </c>
      <c r="I93" s="11" t="n">
        <f aca="false">F93/30</f>
        <v>333333.333333333</v>
      </c>
      <c r="J93" s="11" t="n">
        <f aca="false">AVERAGE(H93,I93)</f>
        <v>233333.333333333</v>
      </c>
      <c r="K93" s="11" t="n">
        <f aca="false">E93/230</f>
        <v>17391.3043478261</v>
      </c>
      <c r="L93" s="11" t="n">
        <f aca="false">F93/230</f>
        <v>43478.2608695652</v>
      </c>
      <c r="M93" s="11" t="n">
        <f aca="false">AVERAGE(K93,L93)</f>
        <v>30434.7826086957</v>
      </c>
      <c r="N93" s="9" t="s">
        <v>141</v>
      </c>
    </row>
    <row r="94" customFormat="false" ht="15" hidden="false" customHeight="false" outlineLevel="0" collapsed="false">
      <c r="A94" s="14" t="s">
        <v>116</v>
      </c>
      <c r="B94" s="5" t="s">
        <v>133</v>
      </c>
      <c r="C94" s="5" t="s">
        <v>37</v>
      </c>
      <c r="D94" s="6" t="s">
        <v>142</v>
      </c>
      <c r="E94" s="7" t="n">
        <v>10000000</v>
      </c>
      <c r="F94" s="7" t="n">
        <v>25000000</v>
      </c>
      <c r="G94" s="7" t="n">
        <f aca="false">AVERAGE(E94,F94)</f>
        <v>17500000</v>
      </c>
      <c r="H94" s="7" t="n">
        <f aca="false">E94/30</f>
        <v>333333.333333333</v>
      </c>
      <c r="I94" s="7" t="n">
        <f aca="false">F94/30</f>
        <v>833333.333333333</v>
      </c>
      <c r="J94" s="7" t="n">
        <f aca="false">AVERAGE(H94,I94)</f>
        <v>583333.333333333</v>
      </c>
      <c r="K94" s="7" t="n">
        <f aca="false">E94/230</f>
        <v>43478.2608695652</v>
      </c>
      <c r="L94" s="7" t="n">
        <f aca="false">F94/230</f>
        <v>108695.652173913</v>
      </c>
      <c r="M94" s="7" t="n">
        <f aca="false">AVERAGE(K94,L94)</f>
        <v>76086.9565217391</v>
      </c>
      <c r="N94" s="5" t="s">
        <v>143</v>
      </c>
    </row>
    <row r="95" customFormat="false" ht="15" hidden="false" customHeight="false" outlineLevel="0" collapsed="false">
      <c r="A95" s="15" t="s">
        <v>116</v>
      </c>
      <c r="B95" s="9" t="s">
        <v>144</v>
      </c>
      <c r="C95" s="9" t="s">
        <v>18</v>
      </c>
      <c r="D95" s="10" t="s">
        <v>145</v>
      </c>
      <c r="E95" s="11" t="n">
        <v>1423500</v>
      </c>
      <c r="F95" s="11" t="n">
        <v>2200000</v>
      </c>
      <c r="G95" s="11" t="n">
        <f aca="false">AVERAGE(E95,F95)</f>
        <v>1811750</v>
      </c>
      <c r="H95" s="11" t="n">
        <f aca="false">E95/30</f>
        <v>47450</v>
      </c>
      <c r="I95" s="11" t="n">
        <f aca="false">F95/30</f>
        <v>73333.3333333333</v>
      </c>
      <c r="J95" s="11" t="n">
        <f aca="false">AVERAGE(H95,I95)</f>
        <v>60391.6666666667</v>
      </c>
      <c r="K95" s="11" t="n">
        <f aca="false">E95/230</f>
        <v>6189.13043478261</v>
      </c>
      <c r="L95" s="11" t="n">
        <f aca="false">F95/230</f>
        <v>9565.21739130435</v>
      </c>
      <c r="M95" s="11" t="n">
        <f aca="false">AVERAGE(K95,L95)</f>
        <v>7877.17391304348</v>
      </c>
      <c r="N95" s="9" t="s">
        <v>33</v>
      </c>
    </row>
    <row r="96" customFormat="false" ht="15" hidden="false" customHeight="false" outlineLevel="0" collapsed="false">
      <c r="A96" s="14" t="s">
        <v>116</v>
      </c>
      <c r="B96" s="5" t="s">
        <v>144</v>
      </c>
      <c r="C96" s="5" t="s">
        <v>23</v>
      </c>
      <c r="D96" s="6" t="s">
        <v>146</v>
      </c>
      <c r="E96" s="7" t="n">
        <v>2000000</v>
      </c>
      <c r="F96" s="7" t="n">
        <v>4000000</v>
      </c>
      <c r="G96" s="7" t="n">
        <f aca="false">AVERAGE(E96,F96)</f>
        <v>3000000</v>
      </c>
      <c r="H96" s="7" t="n">
        <f aca="false">E96/30</f>
        <v>66666.6666666667</v>
      </c>
      <c r="I96" s="7" t="n">
        <f aca="false">F96/30</f>
        <v>133333.333333333</v>
      </c>
      <c r="J96" s="7" t="n">
        <f aca="false">AVERAGE(H96,I96)</f>
        <v>100000</v>
      </c>
      <c r="K96" s="7" t="n">
        <f aca="false">E96/230</f>
        <v>8695.65217391304</v>
      </c>
      <c r="L96" s="7" t="n">
        <f aca="false">F96/230</f>
        <v>17391.3043478261</v>
      </c>
      <c r="M96" s="7" t="n">
        <f aca="false">AVERAGE(K96,L96)</f>
        <v>13043.4782608696</v>
      </c>
      <c r="N96" s="5" t="s">
        <v>28</v>
      </c>
    </row>
    <row r="97" customFormat="false" ht="15" hidden="false" customHeight="false" outlineLevel="0" collapsed="false">
      <c r="A97" s="15" t="s">
        <v>116</v>
      </c>
      <c r="B97" s="9" t="s">
        <v>144</v>
      </c>
      <c r="C97" s="9" t="s">
        <v>29</v>
      </c>
      <c r="D97" s="10" t="s">
        <v>147</v>
      </c>
      <c r="E97" s="11" t="n">
        <v>3000000</v>
      </c>
      <c r="F97" s="11" t="n">
        <v>7000000</v>
      </c>
      <c r="G97" s="11" t="n">
        <f aca="false">AVERAGE(E97,F97)</f>
        <v>5000000</v>
      </c>
      <c r="H97" s="11" t="n">
        <f aca="false">E97/30</f>
        <v>100000</v>
      </c>
      <c r="I97" s="11" t="n">
        <f aca="false">F97/30</f>
        <v>233333.333333333</v>
      </c>
      <c r="J97" s="11" t="n">
        <f aca="false">AVERAGE(H97,I97)</f>
        <v>166666.666666667</v>
      </c>
      <c r="K97" s="11" t="n">
        <f aca="false">E97/230</f>
        <v>13043.4782608696</v>
      </c>
      <c r="L97" s="11" t="n">
        <f aca="false">F97/230</f>
        <v>30434.7826086957</v>
      </c>
      <c r="M97" s="11" t="n">
        <f aca="false">AVERAGE(K97,L97)</f>
        <v>21739.1304347826</v>
      </c>
      <c r="N97" s="9" t="s">
        <v>33</v>
      </c>
    </row>
    <row r="98" customFormat="false" ht="15" hidden="false" customHeight="false" outlineLevel="0" collapsed="false">
      <c r="A98" s="14" t="s">
        <v>116</v>
      </c>
      <c r="B98" s="5" t="s">
        <v>144</v>
      </c>
      <c r="C98" s="5" t="s">
        <v>29</v>
      </c>
      <c r="D98" s="6" t="s">
        <v>148</v>
      </c>
      <c r="E98" s="7" t="n">
        <v>3000000</v>
      </c>
      <c r="F98" s="7" t="n">
        <v>7000000</v>
      </c>
      <c r="G98" s="7" t="n">
        <f aca="false">AVERAGE(E98,F98)</f>
        <v>5000000</v>
      </c>
      <c r="H98" s="7" t="n">
        <f aca="false">E98/30</f>
        <v>100000</v>
      </c>
      <c r="I98" s="7" t="n">
        <f aca="false">F98/30</f>
        <v>233333.333333333</v>
      </c>
      <c r="J98" s="7" t="n">
        <f aca="false">AVERAGE(H98,I98)</f>
        <v>166666.666666667</v>
      </c>
      <c r="K98" s="7" t="n">
        <f aca="false">E98/230</f>
        <v>13043.4782608696</v>
      </c>
      <c r="L98" s="7" t="n">
        <f aca="false">F98/230</f>
        <v>30434.7826086957</v>
      </c>
      <c r="M98" s="7" t="n">
        <f aca="false">AVERAGE(K98,L98)</f>
        <v>21739.1304347826</v>
      </c>
      <c r="N98" s="5" t="s">
        <v>33</v>
      </c>
    </row>
    <row r="99" customFormat="false" ht="15" hidden="false" customHeight="false" outlineLevel="0" collapsed="false">
      <c r="A99" s="15" t="s">
        <v>116</v>
      </c>
      <c r="B99" s="9" t="s">
        <v>149</v>
      </c>
      <c r="C99" s="9" t="s">
        <v>18</v>
      </c>
      <c r="D99" s="10" t="s">
        <v>150</v>
      </c>
      <c r="E99" s="11" t="n">
        <v>1700000</v>
      </c>
      <c r="F99" s="11" t="n">
        <v>2800000</v>
      </c>
      <c r="G99" s="11" t="n">
        <f aca="false">AVERAGE(E99,F99)</f>
        <v>2250000</v>
      </c>
      <c r="H99" s="11" t="n">
        <f aca="false">E99/30</f>
        <v>56666.6666666667</v>
      </c>
      <c r="I99" s="11" t="n">
        <f aca="false">F99/30</f>
        <v>93333.3333333333</v>
      </c>
      <c r="J99" s="11" t="n">
        <f aca="false">AVERAGE(H99,I99)</f>
        <v>75000</v>
      </c>
      <c r="K99" s="11" t="n">
        <f aca="false">E99/230</f>
        <v>7391.30434782609</v>
      </c>
      <c r="L99" s="11" t="n">
        <f aca="false">F99/230</f>
        <v>12173.9130434783</v>
      </c>
      <c r="M99" s="11" t="n">
        <f aca="false">AVERAGE(K99,L99)</f>
        <v>9782.60869565217</v>
      </c>
      <c r="N99" s="9" t="s">
        <v>151</v>
      </c>
    </row>
    <row r="100" customFormat="false" ht="15" hidden="false" customHeight="false" outlineLevel="0" collapsed="false">
      <c r="A100" s="14" t="s">
        <v>116</v>
      </c>
      <c r="B100" s="5" t="s">
        <v>149</v>
      </c>
      <c r="C100" s="5" t="s">
        <v>23</v>
      </c>
      <c r="D100" s="6" t="s">
        <v>152</v>
      </c>
      <c r="E100" s="7" t="n">
        <v>2500000</v>
      </c>
      <c r="F100" s="7" t="n">
        <v>4500000</v>
      </c>
      <c r="G100" s="7" t="n">
        <f aca="false">AVERAGE(E100,F100)</f>
        <v>3500000</v>
      </c>
      <c r="H100" s="7" t="n">
        <f aca="false">E100/30</f>
        <v>83333.3333333333</v>
      </c>
      <c r="I100" s="7" t="n">
        <f aca="false">F100/30</f>
        <v>150000</v>
      </c>
      <c r="J100" s="7" t="n">
        <f aca="false">AVERAGE(H100,I100)</f>
        <v>116666.666666667</v>
      </c>
      <c r="K100" s="7" t="n">
        <f aca="false">E100/230</f>
        <v>10869.5652173913</v>
      </c>
      <c r="L100" s="7" t="n">
        <f aca="false">F100/230</f>
        <v>19565.2173913043</v>
      </c>
      <c r="M100" s="7" t="n">
        <f aca="false">AVERAGE(K100,L100)</f>
        <v>15217.3913043478</v>
      </c>
      <c r="N100" s="5" t="s">
        <v>28</v>
      </c>
    </row>
    <row r="101" customFormat="false" ht="15" hidden="false" customHeight="false" outlineLevel="0" collapsed="false">
      <c r="A101" s="15" t="s">
        <v>116</v>
      </c>
      <c r="B101" s="9" t="s">
        <v>149</v>
      </c>
      <c r="C101" s="9" t="s">
        <v>29</v>
      </c>
      <c r="D101" s="10" t="s">
        <v>153</v>
      </c>
      <c r="E101" s="11" t="n">
        <v>3500000</v>
      </c>
      <c r="F101" s="11" t="n">
        <v>9000000</v>
      </c>
      <c r="G101" s="11" t="n">
        <f aca="false">AVERAGE(E101,F101)</f>
        <v>6250000</v>
      </c>
      <c r="H101" s="11" t="n">
        <f aca="false">E101/30</f>
        <v>116666.666666667</v>
      </c>
      <c r="I101" s="11" t="n">
        <f aca="false">F101/30</f>
        <v>300000</v>
      </c>
      <c r="J101" s="11" t="n">
        <f aca="false">AVERAGE(H101,I101)</f>
        <v>208333.333333333</v>
      </c>
      <c r="K101" s="11" t="n">
        <f aca="false">E101/230</f>
        <v>15217.3913043478</v>
      </c>
      <c r="L101" s="11" t="n">
        <f aca="false">F101/230</f>
        <v>39130.4347826087</v>
      </c>
      <c r="M101" s="11" t="n">
        <f aca="false">AVERAGE(K101,L101)</f>
        <v>27173.9130434783</v>
      </c>
      <c r="N101" s="9" t="s">
        <v>33</v>
      </c>
    </row>
    <row r="102" customFormat="false" ht="15" hidden="false" customHeight="false" outlineLevel="0" collapsed="false">
      <c r="A102" s="14" t="s">
        <v>116</v>
      </c>
      <c r="B102" s="5" t="s">
        <v>149</v>
      </c>
      <c r="C102" s="5" t="s">
        <v>29</v>
      </c>
      <c r="D102" s="6" t="s">
        <v>154</v>
      </c>
      <c r="E102" s="7" t="n">
        <v>4000000</v>
      </c>
      <c r="F102" s="7" t="n">
        <v>10000000</v>
      </c>
      <c r="G102" s="7" t="n">
        <f aca="false">AVERAGE(E102,F102)</f>
        <v>7000000</v>
      </c>
      <c r="H102" s="7" t="n">
        <f aca="false">E102/30</f>
        <v>133333.333333333</v>
      </c>
      <c r="I102" s="7" t="n">
        <f aca="false">F102/30</f>
        <v>333333.333333333</v>
      </c>
      <c r="J102" s="7" t="n">
        <f aca="false">AVERAGE(H102,I102)</f>
        <v>233333.333333333</v>
      </c>
      <c r="K102" s="7" t="n">
        <f aca="false">E102/230</f>
        <v>17391.3043478261</v>
      </c>
      <c r="L102" s="7" t="n">
        <f aca="false">F102/230</f>
        <v>43478.2608695652</v>
      </c>
      <c r="M102" s="7" t="n">
        <f aca="false">AVERAGE(K102,L102)</f>
        <v>30434.7826086957</v>
      </c>
      <c r="N102" s="5" t="s">
        <v>33</v>
      </c>
    </row>
    <row r="103" customFormat="false" ht="15" hidden="false" customHeight="false" outlineLevel="0" collapsed="false">
      <c r="A103" s="15" t="s">
        <v>116</v>
      </c>
      <c r="B103" s="9" t="s">
        <v>149</v>
      </c>
      <c r="C103" s="9" t="s">
        <v>29</v>
      </c>
      <c r="D103" s="10" t="s">
        <v>155</v>
      </c>
      <c r="E103" s="11" t="n">
        <v>5000000</v>
      </c>
      <c r="F103" s="11" t="n">
        <v>12000000</v>
      </c>
      <c r="G103" s="11" t="n">
        <f aca="false">AVERAGE(E103,F103)</f>
        <v>8500000</v>
      </c>
      <c r="H103" s="11" t="n">
        <f aca="false">E103/30</f>
        <v>166666.666666667</v>
      </c>
      <c r="I103" s="11" t="n">
        <f aca="false">F103/30</f>
        <v>400000</v>
      </c>
      <c r="J103" s="11" t="n">
        <f aca="false">AVERAGE(H103,I103)</f>
        <v>283333.333333333</v>
      </c>
      <c r="K103" s="11" t="n">
        <f aca="false">E103/230</f>
        <v>21739.1304347826</v>
      </c>
      <c r="L103" s="11" t="n">
        <f aca="false">F103/230</f>
        <v>52173.9130434783</v>
      </c>
      <c r="M103" s="11" t="n">
        <f aca="false">AVERAGE(K103,L103)</f>
        <v>36956.5217391304</v>
      </c>
      <c r="N103" s="9" t="s">
        <v>33</v>
      </c>
    </row>
    <row r="104" customFormat="false" ht="15" hidden="false" customHeight="false" outlineLevel="0" collapsed="false">
      <c r="A104" s="14" t="s">
        <v>116</v>
      </c>
      <c r="B104" s="5" t="s">
        <v>149</v>
      </c>
      <c r="C104" s="5" t="s">
        <v>29</v>
      </c>
      <c r="D104" s="6" t="s">
        <v>156</v>
      </c>
      <c r="E104" s="7" t="n">
        <v>6000000</v>
      </c>
      <c r="F104" s="7" t="n">
        <v>14000000</v>
      </c>
      <c r="G104" s="7" t="n">
        <f aca="false">AVERAGE(E104,F104)</f>
        <v>10000000</v>
      </c>
      <c r="H104" s="7" t="n">
        <f aca="false">E104/30</f>
        <v>200000</v>
      </c>
      <c r="I104" s="7" t="n">
        <f aca="false">F104/30</f>
        <v>466666.666666667</v>
      </c>
      <c r="J104" s="7" t="n">
        <f aca="false">AVERAGE(H104,I104)</f>
        <v>333333.333333333</v>
      </c>
      <c r="K104" s="7" t="n">
        <f aca="false">E104/230</f>
        <v>26086.9565217391</v>
      </c>
      <c r="L104" s="7" t="n">
        <f aca="false">F104/230</f>
        <v>60869.5652173913</v>
      </c>
      <c r="M104" s="7" t="n">
        <f aca="false">AVERAGE(K104,L104)</f>
        <v>43478.2608695652</v>
      </c>
      <c r="N104" s="5" t="s">
        <v>33</v>
      </c>
    </row>
    <row r="105" customFormat="false" ht="15" hidden="false" customHeight="false" outlineLevel="0" collapsed="false">
      <c r="A105" s="15" t="s">
        <v>116</v>
      </c>
      <c r="B105" s="9" t="s">
        <v>149</v>
      </c>
      <c r="C105" s="9" t="s">
        <v>34</v>
      </c>
      <c r="D105" s="10" t="s">
        <v>157</v>
      </c>
      <c r="E105" s="11" t="n">
        <v>12000000</v>
      </c>
      <c r="F105" s="11" t="n">
        <v>25000000</v>
      </c>
      <c r="G105" s="11" t="n">
        <f aca="false">AVERAGE(E105,F105)</f>
        <v>18500000</v>
      </c>
      <c r="H105" s="11" t="n">
        <f aca="false">E105/30</f>
        <v>400000</v>
      </c>
      <c r="I105" s="11" t="n">
        <f aca="false">F105/30</f>
        <v>833333.333333333</v>
      </c>
      <c r="J105" s="11" t="n">
        <f aca="false">AVERAGE(H105,I105)</f>
        <v>616666.666666667</v>
      </c>
      <c r="K105" s="11" t="n">
        <f aca="false">E105/230</f>
        <v>52173.9130434783</v>
      </c>
      <c r="L105" s="11" t="n">
        <f aca="false">F105/230</f>
        <v>108695.652173913</v>
      </c>
      <c r="M105" s="11" t="n">
        <f aca="false">AVERAGE(K105,L105)</f>
        <v>80434.7826086957</v>
      </c>
      <c r="N105" s="9" t="s">
        <v>58</v>
      </c>
    </row>
    <row r="106" customFormat="false" ht="15" hidden="false" customHeight="false" outlineLevel="0" collapsed="false">
      <c r="A106" s="14" t="s">
        <v>116</v>
      </c>
      <c r="B106" s="5" t="s">
        <v>149</v>
      </c>
      <c r="C106" s="5" t="s">
        <v>37</v>
      </c>
      <c r="D106" s="6" t="s">
        <v>158</v>
      </c>
      <c r="E106" s="7" t="n">
        <v>20000000</v>
      </c>
      <c r="F106" s="7" t="n">
        <v>50000000</v>
      </c>
      <c r="G106" s="7" t="n">
        <f aca="false">AVERAGE(E106,F106)</f>
        <v>35000000</v>
      </c>
      <c r="H106" s="7" t="n">
        <f aca="false">E106/30</f>
        <v>666666.666666667</v>
      </c>
      <c r="I106" s="7" t="n">
        <f aca="false">F106/30</f>
        <v>1666666.66666667</v>
      </c>
      <c r="J106" s="7" t="n">
        <f aca="false">AVERAGE(H106,I106)</f>
        <v>1166666.66666667</v>
      </c>
      <c r="K106" s="7" t="n">
        <f aca="false">E106/230</f>
        <v>86956.5217391304</v>
      </c>
      <c r="L106" s="7" t="n">
        <f aca="false">F106/230</f>
        <v>217391.304347826</v>
      </c>
      <c r="M106" s="7" t="n">
        <f aca="false">AVERAGE(K106,L106)</f>
        <v>152173.913043478</v>
      </c>
      <c r="N106" s="5" t="s">
        <v>39</v>
      </c>
    </row>
    <row r="107" customFormat="false" ht="15" hidden="false" customHeight="false" outlineLevel="0" collapsed="false">
      <c r="A107" s="15" t="s">
        <v>116</v>
      </c>
      <c r="B107" s="9" t="s">
        <v>159</v>
      </c>
      <c r="C107" s="9" t="s">
        <v>29</v>
      </c>
      <c r="D107" s="10" t="s">
        <v>160</v>
      </c>
      <c r="E107" s="11" t="n">
        <v>4000000</v>
      </c>
      <c r="F107" s="11" t="n">
        <v>9000000</v>
      </c>
      <c r="G107" s="11" t="n">
        <f aca="false">AVERAGE(E107,F107)</f>
        <v>6500000</v>
      </c>
      <c r="H107" s="11" t="n">
        <f aca="false">E107/30</f>
        <v>133333.333333333</v>
      </c>
      <c r="I107" s="11" t="n">
        <f aca="false">F107/30</f>
        <v>300000</v>
      </c>
      <c r="J107" s="11" t="n">
        <f aca="false">AVERAGE(H107,I107)</f>
        <v>216666.666666667</v>
      </c>
      <c r="K107" s="11" t="n">
        <f aca="false">E107/230</f>
        <v>17391.3043478261</v>
      </c>
      <c r="L107" s="11" t="n">
        <f aca="false">F107/230</f>
        <v>39130.4347826087</v>
      </c>
      <c r="M107" s="11" t="n">
        <f aca="false">AVERAGE(K107,L107)</f>
        <v>28260.8695652174</v>
      </c>
      <c r="N107" s="9" t="s">
        <v>33</v>
      </c>
    </row>
    <row r="108" customFormat="false" ht="15" hidden="false" customHeight="false" outlineLevel="0" collapsed="false">
      <c r="A108" s="14" t="s">
        <v>116</v>
      </c>
      <c r="B108" s="5" t="s">
        <v>159</v>
      </c>
      <c r="C108" s="5" t="s">
        <v>29</v>
      </c>
      <c r="D108" s="6" t="s">
        <v>161</v>
      </c>
      <c r="E108" s="7" t="n">
        <v>2000000</v>
      </c>
      <c r="F108" s="7" t="n">
        <v>8000000</v>
      </c>
      <c r="G108" s="7" t="n">
        <f aca="false">AVERAGE(E108,F108)</f>
        <v>5000000</v>
      </c>
      <c r="H108" s="7" t="n">
        <f aca="false">E108/30</f>
        <v>66666.6666666667</v>
      </c>
      <c r="I108" s="7" t="n">
        <f aca="false">F108/30</f>
        <v>266666.666666667</v>
      </c>
      <c r="J108" s="7" t="n">
        <f aca="false">AVERAGE(H108,I108)</f>
        <v>166666.666666667</v>
      </c>
      <c r="K108" s="7" t="n">
        <f aca="false">E108/230</f>
        <v>8695.65217391304</v>
      </c>
      <c r="L108" s="7" t="n">
        <f aca="false">F108/230</f>
        <v>34782.6086956522</v>
      </c>
      <c r="M108" s="7" t="n">
        <f aca="false">AVERAGE(K108,L108)</f>
        <v>21739.1304347826</v>
      </c>
      <c r="N108" s="5" t="s">
        <v>33</v>
      </c>
    </row>
    <row r="109" customFormat="false" ht="15" hidden="false" customHeight="false" outlineLevel="0" collapsed="false">
      <c r="A109" s="15" t="s">
        <v>116</v>
      </c>
      <c r="B109" s="9" t="s">
        <v>162</v>
      </c>
      <c r="C109" s="9" t="s">
        <v>18</v>
      </c>
      <c r="D109" s="10" t="s">
        <v>163</v>
      </c>
      <c r="E109" s="11" t="n">
        <v>1423500</v>
      </c>
      <c r="F109" s="11" t="n">
        <v>2500000</v>
      </c>
      <c r="G109" s="11" t="n">
        <f aca="false">AVERAGE(E109,F109)</f>
        <v>1961750</v>
      </c>
      <c r="H109" s="11" t="n">
        <f aca="false">E109/30</f>
        <v>47450</v>
      </c>
      <c r="I109" s="11" t="n">
        <f aca="false">F109/30</f>
        <v>83333.3333333333</v>
      </c>
      <c r="J109" s="11" t="n">
        <f aca="false">AVERAGE(H109,I109)</f>
        <v>65391.6666666667</v>
      </c>
      <c r="K109" s="11" t="n">
        <f aca="false">E109/230</f>
        <v>6189.13043478261</v>
      </c>
      <c r="L109" s="11" t="n">
        <f aca="false">F109/230</f>
        <v>10869.5652173913</v>
      </c>
      <c r="M109" s="11" t="n">
        <f aca="false">AVERAGE(K109,L109)</f>
        <v>8529.34782608696</v>
      </c>
      <c r="N109" s="9" t="s">
        <v>164</v>
      </c>
    </row>
    <row r="110" customFormat="false" ht="15" hidden="false" customHeight="false" outlineLevel="0" collapsed="false">
      <c r="A110" s="14" t="s">
        <v>116</v>
      </c>
      <c r="B110" s="5" t="s">
        <v>162</v>
      </c>
      <c r="C110" s="5" t="s">
        <v>23</v>
      </c>
      <c r="D110" s="6" t="s">
        <v>165</v>
      </c>
      <c r="E110" s="7" t="n">
        <v>2500000</v>
      </c>
      <c r="F110" s="7" t="n">
        <v>4000000</v>
      </c>
      <c r="G110" s="7" t="n">
        <f aca="false">AVERAGE(E110,F110)</f>
        <v>3250000</v>
      </c>
      <c r="H110" s="7" t="n">
        <f aca="false">E110/30</f>
        <v>83333.3333333333</v>
      </c>
      <c r="I110" s="7" t="n">
        <f aca="false">F110/30</f>
        <v>133333.333333333</v>
      </c>
      <c r="J110" s="7" t="n">
        <f aca="false">AVERAGE(H110,I110)</f>
        <v>108333.333333333</v>
      </c>
      <c r="K110" s="7" t="n">
        <f aca="false">E110/230</f>
        <v>10869.5652173913</v>
      </c>
      <c r="L110" s="7" t="n">
        <f aca="false">F110/230</f>
        <v>17391.3043478261</v>
      </c>
      <c r="M110" s="7" t="n">
        <f aca="false">AVERAGE(K110,L110)</f>
        <v>14130.4347826087</v>
      </c>
      <c r="N110" s="5" t="s">
        <v>166</v>
      </c>
    </row>
    <row r="111" customFormat="false" ht="15" hidden="false" customHeight="false" outlineLevel="0" collapsed="false">
      <c r="A111" s="15" t="s">
        <v>116</v>
      </c>
      <c r="B111" s="9" t="s">
        <v>162</v>
      </c>
      <c r="C111" s="9" t="s">
        <v>29</v>
      </c>
      <c r="D111" s="10" t="s">
        <v>167</v>
      </c>
      <c r="E111" s="11" t="n">
        <v>4000000</v>
      </c>
      <c r="F111" s="11" t="n">
        <v>8000000</v>
      </c>
      <c r="G111" s="11" t="n">
        <f aca="false">AVERAGE(E111,F111)</f>
        <v>6000000</v>
      </c>
      <c r="H111" s="11" t="n">
        <f aca="false">E111/30</f>
        <v>133333.333333333</v>
      </c>
      <c r="I111" s="11" t="n">
        <f aca="false">F111/30</f>
        <v>266666.666666667</v>
      </c>
      <c r="J111" s="11" t="n">
        <f aca="false">AVERAGE(H111,I111)</f>
        <v>200000</v>
      </c>
      <c r="K111" s="11" t="n">
        <f aca="false">E111/230</f>
        <v>17391.3043478261</v>
      </c>
      <c r="L111" s="11" t="n">
        <f aca="false">F111/230</f>
        <v>34782.6086956522</v>
      </c>
      <c r="M111" s="11" t="n">
        <f aca="false">AVERAGE(K111,L111)</f>
        <v>26086.9565217391</v>
      </c>
      <c r="N111" s="9" t="s">
        <v>166</v>
      </c>
    </row>
    <row r="112" customFormat="false" ht="15" hidden="false" customHeight="false" outlineLevel="0" collapsed="false">
      <c r="A112" s="14" t="s">
        <v>116</v>
      </c>
      <c r="B112" s="5" t="s">
        <v>162</v>
      </c>
      <c r="C112" s="5" t="s">
        <v>29</v>
      </c>
      <c r="D112" s="6" t="s">
        <v>168</v>
      </c>
      <c r="E112" s="7" t="n">
        <v>5000000</v>
      </c>
      <c r="F112" s="7" t="n">
        <v>12000000</v>
      </c>
      <c r="G112" s="7" t="n">
        <f aca="false">AVERAGE(E112,F112)</f>
        <v>8500000</v>
      </c>
      <c r="H112" s="7" t="n">
        <f aca="false">E112/30</f>
        <v>166666.666666667</v>
      </c>
      <c r="I112" s="7" t="n">
        <f aca="false">F112/30</f>
        <v>400000</v>
      </c>
      <c r="J112" s="7" t="n">
        <f aca="false">AVERAGE(H112,I112)</f>
        <v>283333.333333333</v>
      </c>
      <c r="K112" s="7" t="n">
        <f aca="false">E112/230</f>
        <v>21739.1304347826</v>
      </c>
      <c r="L112" s="7" t="n">
        <f aca="false">F112/230</f>
        <v>52173.9130434783</v>
      </c>
      <c r="M112" s="7" t="n">
        <f aca="false">AVERAGE(K112,L112)</f>
        <v>36956.5217391304</v>
      </c>
      <c r="N112" s="5" t="s">
        <v>166</v>
      </c>
    </row>
    <row r="113" customFormat="false" ht="15" hidden="false" customHeight="false" outlineLevel="0" collapsed="false">
      <c r="A113" s="15" t="s">
        <v>116</v>
      </c>
      <c r="B113" s="9" t="s">
        <v>162</v>
      </c>
      <c r="C113" s="9" t="s">
        <v>34</v>
      </c>
      <c r="D113" s="10" t="s">
        <v>169</v>
      </c>
      <c r="E113" s="11" t="n">
        <v>8000000</v>
      </c>
      <c r="F113" s="11" t="n">
        <v>18000000</v>
      </c>
      <c r="G113" s="11" t="n">
        <f aca="false">AVERAGE(E113,F113)</f>
        <v>13000000</v>
      </c>
      <c r="H113" s="11" t="n">
        <f aca="false">E113/30</f>
        <v>266666.666666667</v>
      </c>
      <c r="I113" s="11" t="n">
        <f aca="false">F113/30</f>
        <v>600000</v>
      </c>
      <c r="J113" s="11" t="n">
        <f aca="false">AVERAGE(H113,I113)</f>
        <v>433333.333333333</v>
      </c>
      <c r="K113" s="11" t="n">
        <f aca="false">E113/230</f>
        <v>34782.6086956522</v>
      </c>
      <c r="L113" s="11" t="n">
        <f aca="false">F113/230</f>
        <v>78260.8695652174</v>
      </c>
      <c r="M113" s="11" t="n">
        <f aca="false">AVERAGE(K113,L113)</f>
        <v>56521.7391304348</v>
      </c>
      <c r="N113" s="9" t="s">
        <v>166</v>
      </c>
    </row>
    <row r="114" customFormat="false" ht="15" hidden="false" customHeight="false" outlineLevel="0" collapsed="false">
      <c r="A114" s="14" t="s">
        <v>116</v>
      </c>
      <c r="B114" s="5" t="s">
        <v>162</v>
      </c>
      <c r="C114" s="5" t="s">
        <v>37</v>
      </c>
      <c r="D114" s="6" t="s">
        <v>170</v>
      </c>
      <c r="E114" s="7" t="n">
        <v>12000000</v>
      </c>
      <c r="F114" s="7" t="n">
        <v>30000000</v>
      </c>
      <c r="G114" s="7" t="n">
        <f aca="false">AVERAGE(E114,F114)</f>
        <v>21000000</v>
      </c>
      <c r="H114" s="7" t="n">
        <f aca="false">E114/30</f>
        <v>400000</v>
      </c>
      <c r="I114" s="7" t="n">
        <f aca="false">F114/30</f>
        <v>1000000</v>
      </c>
      <c r="J114" s="7" t="n">
        <f aca="false">AVERAGE(H114,I114)</f>
        <v>700000</v>
      </c>
      <c r="K114" s="7" t="n">
        <f aca="false">E114/230</f>
        <v>52173.9130434783</v>
      </c>
      <c r="L114" s="7" t="n">
        <f aca="false">F114/230</f>
        <v>130434.782608696</v>
      </c>
      <c r="M114" s="7" t="n">
        <f aca="false">AVERAGE(K114,L114)</f>
        <v>91304.347826087</v>
      </c>
      <c r="N114" s="5" t="s">
        <v>166</v>
      </c>
    </row>
    <row r="115" customFormat="false" ht="15" hidden="false" customHeight="false" outlineLevel="0" collapsed="false">
      <c r="A115" s="15" t="s">
        <v>116</v>
      </c>
      <c r="B115" s="9" t="s">
        <v>162</v>
      </c>
      <c r="C115" s="9" t="s">
        <v>37</v>
      </c>
      <c r="D115" s="10" t="s">
        <v>171</v>
      </c>
      <c r="E115" s="11" t="n">
        <v>20000000</v>
      </c>
      <c r="F115" s="11" t="n">
        <v>45000000</v>
      </c>
      <c r="G115" s="11" t="n">
        <f aca="false">AVERAGE(E115,F115)</f>
        <v>32500000</v>
      </c>
      <c r="H115" s="11" t="n">
        <f aca="false">E115/30</f>
        <v>666666.666666667</v>
      </c>
      <c r="I115" s="11" t="n">
        <f aca="false">F115/30</f>
        <v>1500000</v>
      </c>
      <c r="J115" s="11" t="n">
        <f aca="false">AVERAGE(H115,I115)</f>
        <v>1083333.33333333</v>
      </c>
      <c r="K115" s="11" t="n">
        <f aca="false">E115/230</f>
        <v>86956.5217391304</v>
      </c>
      <c r="L115" s="11" t="n">
        <f aca="false">F115/230</f>
        <v>195652.173913044</v>
      </c>
      <c r="M115" s="11" t="n">
        <f aca="false">AVERAGE(K115,L115)</f>
        <v>141304.347826087</v>
      </c>
      <c r="N115" s="9" t="s">
        <v>166</v>
      </c>
    </row>
    <row r="116" customFormat="false" ht="15" hidden="false" customHeight="false" outlineLevel="0" collapsed="false">
      <c r="A116" s="14" t="s">
        <v>116</v>
      </c>
      <c r="B116" s="5" t="s">
        <v>172</v>
      </c>
      <c r="C116" s="5" t="s">
        <v>18</v>
      </c>
      <c r="D116" s="6" t="s">
        <v>173</v>
      </c>
      <c r="E116" s="7" t="n">
        <v>1423500</v>
      </c>
      <c r="F116" s="7" t="n">
        <v>2000000</v>
      </c>
      <c r="G116" s="7" t="n">
        <f aca="false">AVERAGE(E116,F116)</f>
        <v>1711750</v>
      </c>
      <c r="H116" s="7" t="n">
        <f aca="false">E116/30</f>
        <v>47450</v>
      </c>
      <c r="I116" s="7" t="n">
        <f aca="false">F116/30</f>
        <v>66666.6666666667</v>
      </c>
      <c r="J116" s="7" t="n">
        <f aca="false">AVERAGE(H116,I116)</f>
        <v>57058.3333333333</v>
      </c>
      <c r="K116" s="7" t="n">
        <f aca="false">E116/230</f>
        <v>6189.13043478261</v>
      </c>
      <c r="L116" s="7" t="n">
        <f aca="false">F116/230</f>
        <v>8695.65217391304</v>
      </c>
      <c r="M116" s="7" t="n">
        <f aca="false">AVERAGE(K116,L116)</f>
        <v>7442.39130434783</v>
      </c>
      <c r="N116" s="5" t="s">
        <v>174</v>
      </c>
    </row>
    <row r="117" customFormat="false" ht="15" hidden="false" customHeight="false" outlineLevel="0" collapsed="false">
      <c r="A117" s="15" t="s">
        <v>116</v>
      </c>
      <c r="B117" s="9" t="s">
        <v>172</v>
      </c>
      <c r="C117" s="9" t="s">
        <v>23</v>
      </c>
      <c r="D117" s="10" t="s">
        <v>175</v>
      </c>
      <c r="E117" s="11" t="n">
        <v>1800000</v>
      </c>
      <c r="F117" s="11" t="n">
        <v>3000000</v>
      </c>
      <c r="G117" s="11" t="n">
        <f aca="false">AVERAGE(E117,F117)</f>
        <v>2400000</v>
      </c>
      <c r="H117" s="11" t="n">
        <f aca="false">E117/30</f>
        <v>60000</v>
      </c>
      <c r="I117" s="11" t="n">
        <f aca="false">F117/30</f>
        <v>100000</v>
      </c>
      <c r="J117" s="11" t="n">
        <f aca="false">AVERAGE(H117,I117)</f>
        <v>80000</v>
      </c>
      <c r="K117" s="11" t="n">
        <f aca="false">E117/230</f>
        <v>7826.08695652174</v>
      </c>
      <c r="L117" s="11" t="n">
        <f aca="false">F117/230</f>
        <v>13043.4782608696</v>
      </c>
      <c r="M117" s="11" t="n">
        <f aca="false">AVERAGE(K117,L117)</f>
        <v>10434.7826086957</v>
      </c>
      <c r="N117" s="9" t="s">
        <v>28</v>
      </c>
    </row>
    <row r="118" customFormat="false" ht="15" hidden="false" customHeight="false" outlineLevel="0" collapsed="false">
      <c r="A118" s="14" t="s">
        <v>116</v>
      </c>
      <c r="B118" s="5" t="s">
        <v>172</v>
      </c>
      <c r="C118" s="5" t="s">
        <v>29</v>
      </c>
      <c r="D118" s="6" t="s">
        <v>176</v>
      </c>
      <c r="E118" s="7" t="n">
        <v>2500000</v>
      </c>
      <c r="F118" s="7" t="n">
        <v>5000000</v>
      </c>
      <c r="G118" s="7" t="n">
        <f aca="false">AVERAGE(E118,F118)</f>
        <v>3750000</v>
      </c>
      <c r="H118" s="7" t="n">
        <f aca="false">E118/30</f>
        <v>83333.3333333333</v>
      </c>
      <c r="I118" s="7" t="n">
        <f aca="false">F118/30</f>
        <v>166666.666666667</v>
      </c>
      <c r="J118" s="7" t="n">
        <f aca="false">AVERAGE(H118,I118)</f>
        <v>125000</v>
      </c>
      <c r="K118" s="7" t="n">
        <f aca="false">E118/230</f>
        <v>10869.5652173913</v>
      </c>
      <c r="L118" s="7" t="n">
        <f aca="false">F118/230</f>
        <v>21739.1304347826</v>
      </c>
      <c r="M118" s="7" t="n">
        <f aca="false">AVERAGE(K118,L118)</f>
        <v>16304.347826087</v>
      </c>
      <c r="N118" s="5" t="s">
        <v>177</v>
      </c>
    </row>
    <row r="119" customFormat="false" ht="15" hidden="false" customHeight="false" outlineLevel="0" collapsed="false">
      <c r="A119" s="15" t="s">
        <v>116</v>
      </c>
      <c r="B119" s="9" t="s">
        <v>172</v>
      </c>
      <c r="C119" s="9" t="s">
        <v>29</v>
      </c>
      <c r="D119" s="10" t="s">
        <v>178</v>
      </c>
      <c r="E119" s="11" t="n">
        <v>3000000</v>
      </c>
      <c r="F119" s="11" t="n">
        <v>9000000</v>
      </c>
      <c r="G119" s="11" t="n">
        <f aca="false">AVERAGE(E119,F119)</f>
        <v>6000000</v>
      </c>
      <c r="H119" s="11" t="n">
        <f aca="false">E119/30</f>
        <v>100000</v>
      </c>
      <c r="I119" s="11" t="n">
        <f aca="false">F119/30</f>
        <v>300000</v>
      </c>
      <c r="J119" s="11" t="n">
        <f aca="false">AVERAGE(H119,I119)</f>
        <v>200000</v>
      </c>
      <c r="K119" s="11" t="n">
        <f aca="false">E119/230</f>
        <v>13043.4782608696</v>
      </c>
      <c r="L119" s="11" t="n">
        <f aca="false">F119/230</f>
        <v>39130.4347826087</v>
      </c>
      <c r="M119" s="11" t="n">
        <f aca="false">AVERAGE(K119,L119)</f>
        <v>26086.9565217391</v>
      </c>
      <c r="N119" s="9" t="s">
        <v>179</v>
      </c>
    </row>
    <row r="120" customFormat="false" ht="15" hidden="false" customHeight="false" outlineLevel="0" collapsed="false">
      <c r="A120" s="14" t="s">
        <v>116</v>
      </c>
      <c r="B120" s="5" t="s">
        <v>172</v>
      </c>
      <c r="C120" s="5" t="s">
        <v>29</v>
      </c>
      <c r="D120" s="6" t="s">
        <v>180</v>
      </c>
      <c r="E120" s="7" t="n">
        <v>200000</v>
      </c>
      <c r="F120" s="7" t="n">
        <v>800000</v>
      </c>
      <c r="G120" s="7" t="n">
        <f aca="false">AVERAGE(E120,F120)</f>
        <v>500000</v>
      </c>
      <c r="H120" s="7" t="n">
        <f aca="false">E120/30</f>
        <v>6666.66666666667</v>
      </c>
      <c r="I120" s="7" t="n">
        <f aca="false">F120/30</f>
        <v>26666.6666666667</v>
      </c>
      <c r="J120" s="7" t="n">
        <f aca="false">AVERAGE(H120,I120)</f>
        <v>16666.6666666667</v>
      </c>
      <c r="K120" s="7" t="n">
        <f aca="false">E120/230</f>
        <v>869.565217391304</v>
      </c>
      <c r="L120" s="7" t="n">
        <f aca="false">F120/230</f>
        <v>3478.26086956522</v>
      </c>
      <c r="M120" s="7" t="n">
        <f aca="false">AVERAGE(K120,L120)</f>
        <v>2173.91304347826</v>
      </c>
      <c r="N120" s="5" t="s">
        <v>177</v>
      </c>
    </row>
    <row r="121" customFormat="false" ht="15" hidden="false" customHeight="false" outlineLevel="0" collapsed="false">
      <c r="A121" s="15" t="s">
        <v>116</v>
      </c>
      <c r="B121" s="9" t="s">
        <v>172</v>
      </c>
      <c r="C121" s="9" t="s">
        <v>29</v>
      </c>
      <c r="D121" s="10" t="s">
        <v>181</v>
      </c>
      <c r="E121" s="11" t="n">
        <v>5000000</v>
      </c>
      <c r="F121" s="11" t="n">
        <v>12000000</v>
      </c>
      <c r="G121" s="11" t="n">
        <f aca="false">AVERAGE(E121,F121)</f>
        <v>8500000</v>
      </c>
      <c r="H121" s="11" t="n">
        <f aca="false">E121/30</f>
        <v>166666.666666667</v>
      </c>
      <c r="I121" s="11" t="n">
        <f aca="false">F121/30</f>
        <v>400000</v>
      </c>
      <c r="J121" s="11" t="n">
        <f aca="false">AVERAGE(H121,I121)</f>
        <v>283333.333333333</v>
      </c>
      <c r="K121" s="11" t="n">
        <f aca="false">E121/230</f>
        <v>21739.1304347826</v>
      </c>
      <c r="L121" s="11" t="n">
        <f aca="false">F121/230</f>
        <v>52173.9130434783</v>
      </c>
      <c r="M121" s="11" t="n">
        <f aca="false">AVERAGE(K121,L121)</f>
        <v>36956.5217391304</v>
      </c>
      <c r="N121" s="9" t="s">
        <v>177</v>
      </c>
    </row>
    <row r="122" customFormat="false" ht="15" hidden="false" customHeight="false" outlineLevel="0" collapsed="false">
      <c r="A122" s="14" t="s">
        <v>116</v>
      </c>
      <c r="B122" s="5" t="s">
        <v>172</v>
      </c>
      <c r="C122" s="5" t="s">
        <v>34</v>
      </c>
      <c r="D122" s="6" t="s">
        <v>182</v>
      </c>
      <c r="E122" s="7" t="n">
        <v>8000000</v>
      </c>
      <c r="F122" s="7" t="n">
        <v>18000000</v>
      </c>
      <c r="G122" s="7" t="n">
        <f aca="false">AVERAGE(E122,F122)</f>
        <v>13000000</v>
      </c>
      <c r="H122" s="7" t="n">
        <f aca="false">E122/30</f>
        <v>266666.666666667</v>
      </c>
      <c r="I122" s="7" t="n">
        <f aca="false">F122/30</f>
        <v>600000</v>
      </c>
      <c r="J122" s="7" t="n">
        <f aca="false">AVERAGE(H122,I122)</f>
        <v>433333.333333333</v>
      </c>
      <c r="K122" s="7" t="n">
        <f aca="false">E122/230</f>
        <v>34782.6086956522</v>
      </c>
      <c r="L122" s="7" t="n">
        <f aca="false">F122/230</f>
        <v>78260.8695652174</v>
      </c>
      <c r="M122" s="7" t="n">
        <f aca="false">AVERAGE(K122,L122)</f>
        <v>56521.7391304348</v>
      </c>
      <c r="N122" s="5" t="s">
        <v>177</v>
      </c>
    </row>
    <row r="123" customFormat="false" ht="15" hidden="false" customHeight="false" outlineLevel="0" collapsed="false">
      <c r="A123" s="15" t="s">
        <v>116</v>
      </c>
      <c r="B123" s="9" t="s">
        <v>172</v>
      </c>
      <c r="C123" s="9" t="s">
        <v>37</v>
      </c>
      <c r="D123" s="10" t="s">
        <v>183</v>
      </c>
      <c r="E123" s="11" t="n">
        <v>20000000</v>
      </c>
      <c r="F123" s="11" t="n">
        <v>45000000</v>
      </c>
      <c r="G123" s="11" t="n">
        <f aca="false">AVERAGE(E123,F123)</f>
        <v>32500000</v>
      </c>
      <c r="H123" s="11" t="n">
        <f aca="false">E123/30</f>
        <v>666666.666666667</v>
      </c>
      <c r="I123" s="11" t="n">
        <f aca="false">F123/30</f>
        <v>1500000</v>
      </c>
      <c r="J123" s="11" t="n">
        <f aca="false">AVERAGE(H123,I123)</f>
        <v>1083333.33333333</v>
      </c>
      <c r="K123" s="11" t="n">
        <f aca="false">E123/230</f>
        <v>86956.5217391304</v>
      </c>
      <c r="L123" s="11" t="n">
        <f aca="false">F123/230</f>
        <v>195652.173913044</v>
      </c>
      <c r="M123" s="11" t="n">
        <f aca="false">AVERAGE(K123,L123)</f>
        <v>141304.347826087</v>
      </c>
      <c r="N123" s="9" t="s">
        <v>184</v>
      </c>
    </row>
    <row r="124" customFormat="false" ht="15" hidden="false" customHeight="false" outlineLevel="0" collapsed="false">
      <c r="A124" s="14" t="s">
        <v>116</v>
      </c>
      <c r="B124" s="5" t="s">
        <v>185</v>
      </c>
      <c r="C124" s="5" t="s">
        <v>18</v>
      </c>
      <c r="D124" s="6" t="s">
        <v>186</v>
      </c>
      <c r="E124" s="7" t="n">
        <v>1700000</v>
      </c>
      <c r="F124" s="7" t="n">
        <v>2800000</v>
      </c>
      <c r="G124" s="7" t="n">
        <f aca="false">AVERAGE(E124,F124)</f>
        <v>2250000</v>
      </c>
      <c r="H124" s="7" t="n">
        <f aca="false">E124/30</f>
        <v>56666.6666666667</v>
      </c>
      <c r="I124" s="7" t="n">
        <f aca="false">F124/30</f>
        <v>93333.3333333333</v>
      </c>
      <c r="J124" s="7" t="n">
        <f aca="false">AVERAGE(H124,I124)</f>
        <v>75000</v>
      </c>
      <c r="K124" s="7" t="n">
        <f aca="false">E124/230</f>
        <v>7391.30434782609</v>
      </c>
      <c r="L124" s="7" t="n">
        <f aca="false">F124/230</f>
        <v>12173.9130434783</v>
      </c>
      <c r="M124" s="7" t="n">
        <f aca="false">AVERAGE(K124,L124)</f>
        <v>9782.60869565217</v>
      </c>
      <c r="N124" s="5" t="s">
        <v>187</v>
      </c>
    </row>
    <row r="125" customFormat="false" ht="15" hidden="false" customHeight="false" outlineLevel="0" collapsed="false">
      <c r="A125" s="15" t="s">
        <v>116</v>
      </c>
      <c r="B125" s="9" t="s">
        <v>185</v>
      </c>
      <c r="C125" s="9" t="s">
        <v>23</v>
      </c>
      <c r="D125" s="10" t="s">
        <v>188</v>
      </c>
      <c r="E125" s="11" t="n">
        <v>2000000</v>
      </c>
      <c r="F125" s="11" t="n">
        <v>3500000</v>
      </c>
      <c r="G125" s="11" t="n">
        <f aca="false">AVERAGE(E125,F125)</f>
        <v>2750000</v>
      </c>
      <c r="H125" s="11" t="n">
        <f aca="false">E125/30</f>
        <v>66666.6666666667</v>
      </c>
      <c r="I125" s="11" t="n">
        <f aca="false">F125/30</f>
        <v>116666.666666667</v>
      </c>
      <c r="J125" s="11" t="n">
        <f aca="false">AVERAGE(H125,I125)</f>
        <v>91666.6666666667</v>
      </c>
      <c r="K125" s="11" t="n">
        <f aca="false">E125/230</f>
        <v>8695.65217391304</v>
      </c>
      <c r="L125" s="11" t="n">
        <f aca="false">F125/230</f>
        <v>15217.3913043478</v>
      </c>
      <c r="M125" s="11" t="n">
        <f aca="false">AVERAGE(K125,L125)</f>
        <v>11956.5217391304</v>
      </c>
      <c r="N125" s="9" t="s">
        <v>28</v>
      </c>
    </row>
    <row r="126" customFormat="false" ht="15" hidden="false" customHeight="false" outlineLevel="0" collapsed="false">
      <c r="A126" s="14" t="s">
        <v>116</v>
      </c>
      <c r="B126" s="5" t="s">
        <v>185</v>
      </c>
      <c r="C126" s="5" t="s">
        <v>23</v>
      </c>
      <c r="D126" s="6" t="s">
        <v>189</v>
      </c>
      <c r="E126" s="7" t="n">
        <v>3000000</v>
      </c>
      <c r="F126" s="7" t="n">
        <v>5500000</v>
      </c>
      <c r="G126" s="7" t="n">
        <f aca="false">AVERAGE(E126,F126)</f>
        <v>4250000</v>
      </c>
      <c r="H126" s="7" t="n">
        <f aca="false">E126/30</f>
        <v>100000</v>
      </c>
      <c r="I126" s="7" t="n">
        <f aca="false">F126/30</f>
        <v>183333.333333333</v>
      </c>
      <c r="J126" s="7" t="n">
        <f aca="false">AVERAGE(H126,I126)</f>
        <v>141666.666666667</v>
      </c>
      <c r="K126" s="7" t="n">
        <f aca="false">E126/230</f>
        <v>13043.4782608696</v>
      </c>
      <c r="L126" s="7" t="n">
        <f aca="false">F126/230</f>
        <v>23913.0434782609</v>
      </c>
      <c r="M126" s="7" t="n">
        <f aca="false">AVERAGE(K126,L126)</f>
        <v>18478.2608695652</v>
      </c>
      <c r="N126" s="5" t="s">
        <v>33</v>
      </c>
    </row>
    <row r="127" customFormat="false" ht="15" hidden="false" customHeight="false" outlineLevel="0" collapsed="false">
      <c r="A127" s="15" t="s">
        <v>116</v>
      </c>
      <c r="B127" s="9" t="s">
        <v>185</v>
      </c>
      <c r="C127" s="9" t="s">
        <v>29</v>
      </c>
      <c r="D127" s="10" t="s">
        <v>190</v>
      </c>
      <c r="E127" s="11" t="n">
        <v>3500000</v>
      </c>
      <c r="F127" s="11" t="n">
        <v>7000000</v>
      </c>
      <c r="G127" s="11" t="n">
        <f aca="false">AVERAGE(E127,F127)</f>
        <v>5250000</v>
      </c>
      <c r="H127" s="11" t="n">
        <f aca="false">E127/30</f>
        <v>116666.666666667</v>
      </c>
      <c r="I127" s="11" t="n">
        <f aca="false">F127/30</f>
        <v>233333.333333333</v>
      </c>
      <c r="J127" s="11" t="n">
        <f aca="false">AVERAGE(H127,I127)</f>
        <v>175000</v>
      </c>
      <c r="K127" s="11" t="n">
        <f aca="false">E127/230</f>
        <v>15217.3913043478</v>
      </c>
      <c r="L127" s="11" t="n">
        <f aca="false">F127/230</f>
        <v>30434.7826086957</v>
      </c>
      <c r="M127" s="11" t="n">
        <f aca="false">AVERAGE(K127,L127)</f>
        <v>22826.0869565217</v>
      </c>
      <c r="N127" s="9" t="s">
        <v>187</v>
      </c>
    </row>
    <row r="128" customFormat="false" ht="15" hidden="false" customHeight="false" outlineLevel="0" collapsed="false">
      <c r="A128" s="14" t="s">
        <v>116</v>
      </c>
      <c r="B128" s="5" t="s">
        <v>185</v>
      </c>
      <c r="C128" s="5" t="s">
        <v>29</v>
      </c>
      <c r="D128" s="6" t="s">
        <v>191</v>
      </c>
      <c r="E128" s="7" t="n">
        <v>3200000</v>
      </c>
      <c r="F128" s="7" t="n">
        <v>7000000</v>
      </c>
      <c r="G128" s="7" t="n">
        <f aca="false">AVERAGE(E128,F128)</f>
        <v>5100000</v>
      </c>
      <c r="H128" s="7" t="n">
        <f aca="false">E128/30</f>
        <v>106666.666666667</v>
      </c>
      <c r="I128" s="7" t="n">
        <f aca="false">F128/30</f>
        <v>233333.333333333</v>
      </c>
      <c r="J128" s="7" t="n">
        <f aca="false">AVERAGE(H128,I128)</f>
        <v>170000</v>
      </c>
      <c r="K128" s="7" t="n">
        <f aca="false">E128/230</f>
        <v>13913.0434782609</v>
      </c>
      <c r="L128" s="7" t="n">
        <f aca="false">F128/230</f>
        <v>30434.7826086957</v>
      </c>
      <c r="M128" s="7" t="n">
        <f aca="false">AVERAGE(K128,L128)</f>
        <v>22173.9130434783</v>
      </c>
      <c r="N128" s="5" t="s">
        <v>33</v>
      </c>
    </row>
    <row r="129" customFormat="false" ht="15" hidden="false" customHeight="false" outlineLevel="0" collapsed="false">
      <c r="A129" s="15" t="s">
        <v>116</v>
      </c>
      <c r="B129" s="9" t="s">
        <v>185</v>
      </c>
      <c r="C129" s="9" t="s">
        <v>29</v>
      </c>
      <c r="D129" s="10" t="s">
        <v>192</v>
      </c>
      <c r="E129" s="11" t="n">
        <v>4000000</v>
      </c>
      <c r="F129" s="11" t="n">
        <v>10000000</v>
      </c>
      <c r="G129" s="11" t="n">
        <f aca="false">AVERAGE(E129,F129)</f>
        <v>7000000</v>
      </c>
      <c r="H129" s="11" t="n">
        <f aca="false">E129/30</f>
        <v>133333.333333333</v>
      </c>
      <c r="I129" s="11" t="n">
        <f aca="false">F129/30</f>
        <v>333333.333333333</v>
      </c>
      <c r="J129" s="11" t="n">
        <f aca="false">AVERAGE(H129,I129)</f>
        <v>233333.333333333</v>
      </c>
      <c r="K129" s="11" t="n">
        <f aca="false">E129/230</f>
        <v>17391.3043478261</v>
      </c>
      <c r="L129" s="11" t="n">
        <f aca="false">F129/230</f>
        <v>43478.2608695652</v>
      </c>
      <c r="M129" s="11" t="n">
        <f aca="false">AVERAGE(K129,L129)</f>
        <v>30434.7826086957</v>
      </c>
      <c r="N129" s="9" t="s">
        <v>33</v>
      </c>
    </row>
    <row r="130" customFormat="false" ht="15" hidden="false" customHeight="false" outlineLevel="0" collapsed="false">
      <c r="A130" s="14" t="s">
        <v>116</v>
      </c>
      <c r="B130" s="5" t="s">
        <v>185</v>
      </c>
      <c r="C130" s="5" t="s">
        <v>29</v>
      </c>
      <c r="D130" s="6" t="s">
        <v>193</v>
      </c>
      <c r="E130" s="7" t="n">
        <v>5000000</v>
      </c>
      <c r="F130" s="7" t="n">
        <v>12000000</v>
      </c>
      <c r="G130" s="7" t="n">
        <f aca="false">AVERAGE(E130,F130)</f>
        <v>8500000</v>
      </c>
      <c r="H130" s="7" t="n">
        <f aca="false">E130/30</f>
        <v>166666.666666667</v>
      </c>
      <c r="I130" s="7" t="n">
        <f aca="false">F130/30</f>
        <v>400000</v>
      </c>
      <c r="J130" s="7" t="n">
        <f aca="false">AVERAGE(H130,I130)</f>
        <v>283333.333333333</v>
      </c>
      <c r="K130" s="7" t="n">
        <f aca="false">E130/230</f>
        <v>21739.1304347826</v>
      </c>
      <c r="L130" s="7" t="n">
        <f aca="false">F130/230</f>
        <v>52173.9130434783</v>
      </c>
      <c r="M130" s="7" t="n">
        <f aca="false">AVERAGE(K130,L130)</f>
        <v>36956.5217391304</v>
      </c>
      <c r="N130" s="5" t="s">
        <v>187</v>
      </c>
    </row>
    <row r="131" customFormat="false" ht="15" hidden="false" customHeight="false" outlineLevel="0" collapsed="false">
      <c r="A131" s="15" t="s">
        <v>116</v>
      </c>
      <c r="B131" s="9" t="s">
        <v>185</v>
      </c>
      <c r="C131" s="9" t="s">
        <v>34</v>
      </c>
      <c r="D131" s="10" t="s">
        <v>194</v>
      </c>
      <c r="E131" s="11" t="n">
        <v>12000000</v>
      </c>
      <c r="F131" s="11" t="n">
        <v>30000000</v>
      </c>
      <c r="G131" s="11" t="n">
        <f aca="false">AVERAGE(E131,F131)</f>
        <v>21000000</v>
      </c>
      <c r="H131" s="11" t="n">
        <f aca="false">E131/30</f>
        <v>400000</v>
      </c>
      <c r="I131" s="11" t="n">
        <f aca="false">F131/30</f>
        <v>1000000</v>
      </c>
      <c r="J131" s="11" t="n">
        <f aca="false">AVERAGE(H131,I131)</f>
        <v>700000</v>
      </c>
      <c r="K131" s="11" t="n">
        <f aca="false">E131/230</f>
        <v>52173.9130434783</v>
      </c>
      <c r="L131" s="11" t="n">
        <f aca="false">F131/230</f>
        <v>130434.782608696</v>
      </c>
      <c r="M131" s="11" t="n">
        <f aca="false">AVERAGE(K131,L131)</f>
        <v>91304.347826087</v>
      </c>
      <c r="N131" s="9" t="s">
        <v>195</v>
      </c>
    </row>
    <row r="132" customFormat="false" ht="15" hidden="false" customHeight="false" outlineLevel="0" collapsed="false">
      <c r="A132" s="14" t="s">
        <v>116</v>
      </c>
      <c r="B132" s="5" t="s">
        <v>185</v>
      </c>
      <c r="C132" s="5" t="s">
        <v>34</v>
      </c>
      <c r="D132" s="6" t="s">
        <v>196</v>
      </c>
      <c r="E132" s="7" t="n">
        <v>4000000</v>
      </c>
      <c r="F132" s="7" t="n">
        <v>9000000</v>
      </c>
      <c r="G132" s="7" t="n">
        <f aca="false">AVERAGE(E132,F132)</f>
        <v>6500000</v>
      </c>
      <c r="H132" s="7" t="n">
        <f aca="false">E132/30</f>
        <v>133333.333333333</v>
      </c>
      <c r="I132" s="7" t="n">
        <f aca="false">F132/30</f>
        <v>300000</v>
      </c>
      <c r="J132" s="7" t="n">
        <f aca="false">AVERAGE(H132,I132)</f>
        <v>216666.666666667</v>
      </c>
      <c r="K132" s="7" t="n">
        <f aca="false">E132/230</f>
        <v>17391.3043478261</v>
      </c>
      <c r="L132" s="7" t="n">
        <f aca="false">F132/230</f>
        <v>39130.4347826087</v>
      </c>
      <c r="M132" s="7" t="n">
        <f aca="false">AVERAGE(K132,L132)</f>
        <v>28260.8695652174</v>
      </c>
      <c r="N132" s="5" t="s">
        <v>33</v>
      </c>
    </row>
    <row r="133" customFormat="false" ht="15" hidden="false" customHeight="false" outlineLevel="0" collapsed="false">
      <c r="A133" s="15" t="s">
        <v>116</v>
      </c>
      <c r="B133" s="9" t="s">
        <v>185</v>
      </c>
      <c r="C133" s="9" t="s">
        <v>37</v>
      </c>
      <c r="D133" s="10" t="s">
        <v>197</v>
      </c>
      <c r="E133" s="11" t="n">
        <v>20000000</v>
      </c>
      <c r="F133" s="11" t="n">
        <v>50000000</v>
      </c>
      <c r="G133" s="11" t="n">
        <f aca="false">AVERAGE(E133,F133)</f>
        <v>35000000</v>
      </c>
      <c r="H133" s="11" t="n">
        <f aca="false">E133/30</f>
        <v>666666.666666667</v>
      </c>
      <c r="I133" s="11" t="n">
        <f aca="false">F133/30</f>
        <v>1666666.66666667</v>
      </c>
      <c r="J133" s="11" t="n">
        <f aca="false">AVERAGE(H133,I133)</f>
        <v>1166666.66666667</v>
      </c>
      <c r="K133" s="11" t="n">
        <f aca="false">E133/230</f>
        <v>86956.5217391304</v>
      </c>
      <c r="L133" s="11" t="n">
        <f aca="false">F133/230</f>
        <v>217391.304347826</v>
      </c>
      <c r="M133" s="11" t="n">
        <f aca="false">AVERAGE(K133,L133)</f>
        <v>152173.913043478</v>
      </c>
      <c r="N133" s="9" t="s">
        <v>195</v>
      </c>
    </row>
    <row r="134" customFormat="false" ht="15" hidden="false" customHeight="false" outlineLevel="0" collapsed="false">
      <c r="A134" s="14" t="s">
        <v>116</v>
      </c>
      <c r="B134" s="5" t="s">
        <v>198</v>
      </c>
      <c r="C134" s="5" t="s">
        <v>18</v>
      </c>
      <c r="D134" s="6" t="s">
        <v>199</v>
      </c>
      <c r="E134" s="7" t="n">
        <v>1423500</v>
      </c>
      <c r="F134" s="7" t="n">
        <v>5000000</v>
      </c>
      <c r="G134" s="7" t="n">
        <f aca="false">AVERAGE(E134,F134)</f>
        <v>3211750</v>
      </c>
      <c r="H134" s="7" t="n">
        <f aca="false">E134/30</f>
        <v>47450</v>
      </c>
      <c r="I134" s="7" t="n">
        <f aca="false">F134/30</f>
        <v>166666.666666667</v>
      </c>
      <c r="J134" s="7" t="n">
        <f aca="false">AVERAGE(H134,I134)</f>
        <v>107058.333333333</v>
      </c>
      <c r="K134" s="7" t="n">
        <f aca="false">E134/230</f>
        <v>6189.13043478261</v>
      </c>
      <c r="L134" s="7" t="n">
        <f aca="false">F134/230</f>
        <v>21739.1304347826</v>
      </c>
      <c r="M134" s="7" t="n">
        <f aca="false">AVERAGE(K134,L134)</f>
        <v>13964.1304347826</v>
      </c>
      <c r="N134" s="5" t="s">
        <v>33</v>
      </c>
    </row>
    <row r="135" customFormat="false" ht="15" hidden="false" customHeight="false" outlineLevel="0" collapsed="false">
      <c r="A135" s="15" t="s">
        <v>116</v>
      </c>
      <c r="B135" s="9" t="s">
        <v>198</v>
      </c>
      <c r="C135" s="9" t="s">
        <v>29</v>
      </c>
      <c r="D135" s="10" t="s">
        <v>200</v>
      </c>
      <c r="E135" s="11" t="n">
        <v>3000000</v>
      </c>
      <c r="F135" s="11" t="n">
        <v>7000000</v>
      </c>
      <c r="G135" s="11" t="n">
        <f aca="false">AVERAGE(E135,F135)</f>
        <v>5000000</v>
      </c>
      <c r="H135" s="11" t="n">
        <f aca="false">E135/30</f>
        <v>100000</v>
      </c>
      <c r="I135" s="11" t="n">
        <f aca="false">F135/30</f>
        <v>233333.333333333</v>
      </c>
      <c r="J135" s="11" t="n">
        <f aca="false">AVERAGE(H135,I135)</f>
        <v>166666.666666667</v>
      </c>
      <c r="K135" s="11" t="n">
        <f aca="false">E135/230</f>
        <v>13043.4782608696</v>
      </c>
      <c r="L135" s="11" t="n">
        <f aca="false">F135/230</f>
        <v>30434.7826086957</v>
      </c>
      <c r="M135" s="11" t="n">
        <f aca="false">AVERAGE(K135,L135)</f>
        <v>21739.1304347826</v>
      </c>
      <c r="N135" s="9" t="s">
        <v>33</v>
      </c>
    </row>
    <row r="136" customFormat="false" ht="15" hidden="false" customHeight="false" outlineLevel="0" collapsed="false">
      <c r="A136" s="14" t="s">
        <v>116</v>
      </c>
      <c r="B136" s="5" t="s">
        <v>201</v>
      </c>
      <c r="C136" s="5" t="s">
        <v>18</v>
      </c>
      <c r="D136" s="6" t="s">
        <v>202</v>
      </c>
      <c r="E136" s="7" t="n">
        <v>1423500</v>
      </c>
      <c r="F136" s="7" t="n">
        <v>1800000</v>
      </c>
      <c r="G136" s="7" t="n">
        <f aca="false">AVERAGE(E136,F136)</f>
        <v>1611750</v>
      </c>
      <c r="H136" s="7" t="n">
        <f aca="false">E136/30</f>
        <v>47450</v>
      </c>
      <c r="I136" s="7" t="n">
        <f aca="false">F136/30</f>
        <v>60000</v>
      </c>
      <c r="J136" s="7" t="n">
        <f aca="false">AVERAGE(H136,I136)</f>
        <v>53725</v>
      </c>
      <c r="K136" s="7" t="n">
        <f aca="false">E136/230</f>
        <v>6189.13043478261</v>
      </c>
      <c r="L136" s="7" t="n">
        <f aca="false">F136/230</f>
        <v>7826.08695652174</v>
      </c>
      <c r="M136" s="7" t="n">
        <f aca="false">AVERAGE(K136,L136)</f>
        <v>7007.60869565217</v>
      </c>
      <c r="N136" s="5" t="s">
        <v>39</v>
      </c>
    </row>
    <row r="137" customFormat="false" ht="15" hidden="false" customHeight="false" outlineLevel="0" collapsed="false">
      <c r="A137" s="15" t="s">
        <v>116</v>
      </c>
      <c r="B137" s="9" t="s">
        <v>201</v>
      </c>
      <c r="C137" s="9" t="s">
        <v>18</v>
      </c>
      <c r="D137" s="10" t="s">
        <v>203</v>
      </c>
      <c r="E137" s="11" t="n">
        <v>1423500</v>
      </c>
      <c r="F137" s="11" t="n">
        <v>3000000</v>
      </c>
      <c r="G137" s="11" t="n">
        <f aca="false">AVERAGE(E137,F137)</f>
        <v>2211750</v>
      </c>
      <c r="H137" s="11" t="n">
        <f aca="false">E137/30</f>
        <v>47450</v>
      </c>
      <c r="I137" s="11" t="n">
        <f aca="false">F137/30</f>
        <v>100000</v>
      </c>
      <c r="J137" s="11" t="n">
        <f aca="false">AVERAGE(H137,I137)</f>
        <v>73725</v>
      </c>
      <c r="K137" s="11" t="n">
        <f aca="false">E137/230</f>
        <v>6189.13043478261</v>
      </c>
      <c r="L137" s="11" t="n">
        <f aca="false">F137/230</f>
        <v>13043.4782608696</v>
      </c>
      <c r="M137" s="11" t="n">
        <f aca="false">AVERAGE(K137,L137)</f>
        <v>9616.30434782609</v>
      </c>
      <c r="N137" s="9" t="s">
        <v>33</v>
      </c>
    </row>
    <row r="138" customFormat="false" ht="15" hidden="false" customHeight="false" outlineLevel="0" collapsed="false">
      <c r="A138" s="14" t="s">
        <v>116</v>
      </c>
      <c r="B138" s="5" t="s">
        <v>201</v>
      </c>
      <c r="C138" s="5" t="s">
        <v>23</v>
      </c>
      <c r="D138" s="6" t="s">
        <v>204</v>
      </c>
      <c r="E138" s="7" t="n">
        <v>2000000</v>
      </c>
      <c r="F138" s="7" t="n">
        <v>4000000</v>
      </c>
      <c r="G138" s="7" t="n">
        <f aca="false">AVERAGE(E138,F138)</f>
        <v>3000000</v>
      </c>
      <c r="H138" s="7" t="n">
        <f aca="false">E138/30</f>
        <v>66666.6666666667</v>
      </c>
      <c r="I138" s="7" t="n">
        <f aca="false">F138/30</f>
        <v>133333.333333333</v>
      </c>
      <c r="J138" s="7" t="n">
        <f aca="false">AVERAGE(H138,I138)</f>
        <v>100000</v>
      </c>
      <c r="K138" s="7" t="n">
        <f aca="false">E138/230</f>
        <v>8695.65217391304</v>
      </c>
      <c r="L138" s="7" t="n">
        <f aca="false">F138/230</f>
        <v>17391.3043478261</v>
      </c>
      <c r="M138" s="7" t="n">
        <f aca="false">AVERAGE(K138,L138)</f>
        <v>13043.4782608696</v>
      </c>
      <c r="N138" s="5" t="s">
        <v>28</v>
      </c>
    </row>
    <row r="139" customFormat="false" ht="15" hidden="false" customHeight="false" outlineLevel="0" collapsed="false">
      <c r="A139" s="15" t="s">
        <v>116</v>
      </c>
      <c r="B139" s="9" t="s">
        <v>201</v>
      </c>
      <c r="C139" s="9" t="s">
        <v>29</v>
      </c>
      <c r="D139" s="10" t="s">
        <v>205</v>
      </c>
      <c r="E139" s="11" t="n">
        <v>5000000</v>
      </c>
      <c r="F139" s="11" t="n">
        <v>12000000</v>
      </c>
      <c r="G139" s="11" t="n">
        <f aca="false">AVERAGE(E139,F139)</f>
        <v>8500000</v>
      </c>
      <c r="H139" s="11" t="n">
        <f aca="false">E139/30</f>
        <v>166666.666666667</v>
      </c>
      <c r="I139" s="11" t="n">
        <f aca="false">F139/30</f>
        <v>400000</v>
      </c>
      <c r="J139" s="11" t="n">
        <f aca="false">AVERAGE(H139,I139)</f>
        <v>283333.333333333</v>
      </c>
      <c r="K139" s="11" t="n">
        <f aca="false">E139/230</f>
        <v>21739.1304347826</v>
      </c>
      <c r="L139" s="11" t="n">
        <f aca="false">F139/230</f>
        <v>52173.9130434783</v>
      </c>
      <c r="M139" s="11" t="n">
        <f aca="false">AVERAGE(K139,L139)</f>
        <v>36956.5217391304</v>
      </c>
      <c r="N139" s="9" t="s">
        <v>33</v>
      </c>
    </row>
    <row r="140" customFormat="false" ht="15" hidden="false" customHeight="false" outlineLevel="0" collapsed="false">
      <c r="A140" s="16" t="s">
        <v>206</v>
      </c>
      <c r="B140" s="5" t="s">
        <v>207</v>
      </c>
      <c r="C140" s="5" t="s">
        <v>18</v>
      </c>
      <c r="D140" s="6" t="s">
        <v>208</v>
      </c>
      <c r="E140" s="7" t="n">
        <v>1700000</v>
      </c>
      <c r="F140" s="7" t="n">
        <v>3000000</v>
      </c>
      <c r="G140" s="7" t="n">
        <f aca="false">AVERAGE(E140,F140)</f>
        <v>2350000</v>
      </c>
      <c r="H140" s="7" t="n">
        <f aca="false">E140/30</f>
        <v>56666.6666666667</v>
      </c>
      <c r="I140" s="7" t="n">
        <f aca="false">F140/30</f>
        <v>100000</v>
      </c>
      <c r="J140" s="7" t="n">
        <f aca="false">AVERAGE(H140,I140)</f>
        <v>78333.3333333333</v>
      </c>
      <c r="K140" s="7" t="n">
        <f aca="false">E140/230</f>
        <v>7391.30434782609</v>
      </c>
      <c r="L140" s="7" t="n">
        <f aca="false">F140/230</f>
        <v>13043.4782608696</v>
      </c>
      <c r="M140" s="7" t="n">
        <f aca="false">AVERAGE(K140,L140)</f>
        <v>10217.3913043478</v>
      </c>
      <c r="N140" s="5" t="s">
        <v>209</v>
      </c>
    </row>
    <row r="141" customFormat="false" ht="15" hidden="false" customHeight="false" outlineLevel="0" collapsed="false">
      <c r="A141" s="17" t="s">
        <v>206</v>
      </c>
      <c r="B141" s="9" t="s">
        <v>207</v>
      </c>
      <c r="C141" s="9" t="s">
        <v>23</v>
      </c>
      <c r="D141" s="10" t="s">
        <v>210</v>
      </c>
      <c r="E141" s="11" t="n">
        <v>2200000</v>
      </c>
      <c r="F141" s="11" t="n">
        <v>4000000</v>
      </c>
      <c r="G141" s="11" t="n">
        <f aca="false">AVERAGE(E141,F141)</f>
        <v>3100000</v>
      </c>
      <c r="H141" s="11" t="n">
        <f aca="false">E141/30</f>
        <v>73333.3333333333</v>
      </c>
      <c r="I141" s="11" t="n">
        <f aca="false">F141/30</f>
        <v>133333.333333333</v>
      </c>
      <c r="J141" s="11" t="n">
        <f aca="false">AVERAGE(H141,I141)</f>
        <v>103333.333333333</v>
      </c>
      <c r="K141" s="11" t="n">
        <f aca="false">E141/230</f>
        <v>9565.21739130435</v>
      </c>
      <c r="L141" s="11" t="n">
        <f aca="false">F141/230</f>
        <v>17391.3043478261</v>
      </c>
      <c r="M141" s="11" t="n">
        <f aca="false">AVERAGE(K141,L141)</f>
        <v>13478.2608695652</v>
      </c>
      <c r="N141" s="9" t="s">
        <v>28</v>
      </c>
    </row>
    <row r="142" customFormat="false" ht="15" hidden="false" customHeight="false" outlineLevel="0" collapsed="false">
      <c r="A142" s="16" t="s">
        <v>206</v>
      </c>
      <c r="B142" s="5" t="s">
        <v>207</v>
      </c>
      <c r="C142" s="5" t="s">
        <v>29</v>
      </c>
      <c r="D142" s="6" t="s">
        <v>211</v>
      </c>
      <c r="E142" s="7" t="n">
        <v>4000000</v>
      </c>
      <c r="F142" s="7" t="n">
        <v>7000000</v>
      </c>
      <c r="G142" s="7" t="n">
        <f aca="false">AVERAGE(E142,F142)</f>
        <v>5500000</v>
      </c>
      <c r="H142" s="7" t="n">
        <f aca="false">E142/30</f>
        <v>133333.333333333</v>
      </c>
      <c r="I142" s="7" t="n">
        <f aca="false">F142/30</f>
        <v>233333.333333333</v>
      </c>
      <c r="J142" s="7" t="n">
        <f aca="false">AVERAGE(H142,I142)</f>
        <v>183333.333333333</v>
      </c>
      <c r="K142" s="7" t="n">
        <f aca="false">E142/230</f>
        <v>17391.3043478261</v>
      </c>
      <c r="L142" s="7" t="n">
        <f aca="false">F142/230</f>
        <v>30434.7826086957</v>
      </c>
      <c r="M142" s="7" t="n">
        <f aca="false">AVERAGE(K142,L142)</f>
        <v>23913.0434782609</v>
      </c>
      <c r="N142" s="5" t="s">
        <v>212</v>
      </c>
    </row>
    <row r="143" customFormat="false" ht="15" hidden="false" customHeight="false" outlineLevel="0" collapsed="false">
      <c r="A143" s="17" t="s">
        <v>206</v>
      </c>
      <c r="B143" s="9" t="s">
        <v>207</v>
      </c>
      <c r="C143" s="9" t="s">
        <v>29</v>
      </c>
      <c r="D143" s="10" t="s">
        <v>213</v>
      </c>
      <c r="E143" s="11" t="n">
        <v>7000000</v>
      </c>
      <c r="F143" s="11" t="n">
        <v>12000000</v>
      </c>
      <c r="G143" s="11" t="n">
        <f aca="false">AVERAGE(E143,F143)</f>
        <v>9500000</v>
      </c>
      <c r="H143" s="11" t="n">
        <f aca="false">E143/30</f>
        <v>233333.333333333</v>
      </c>
      <c r="I143" s="11" t="n">
        <f aca="false">F143/30</f>
        <v>400000</v>
      </c>
      <c r="J143" s="11" t="n">
        <f aca="false">AVERAGE(H143,I143)</f>
        <v>316666.666666667</v>
      </c>
      <c r="K143" s="11" t="n">
        <f aca="false">E143/230</f>
        <v>30434.7826086957</v>
      </c>
      <c r="L143" s="11" t="n">
        <f aca="false">F143/230</f>
        <v>52173.9130434783</v>
      </c>
      <c r="M143" s="11" t="n">
        <f aca="false">AVERAGE(K143,L143)</f>
        <v>41304.347826087</v>
      </c>
      <c r="N143" s="9" t="s">
        <v>214</v>
      </c>
    </row>
    <row r="144" customFormat="false" ht="15" hidden="false" customHeight="false" outlineLevel="0" collapsed="false">
      <c r="A144" s="16" t="s">
        <v>206</v>
      </c>
      <c r="B144" s="5" t="s">
        <v>207</v>
      </c>
      <c r="C144" s="5" t="s">
        <v>29</v>
      </c>
      <c r="D144" s="6" t="s">
        <v>215</v>
      </c>
      <c r="E144" s="7" t="n">
        <v>12000000</v>
      </c>
      <c r="F144" s="7" t="n">
        <v>22000000</v>
      </c>
      <c r="G144" s="7" t="n">
        <f aca="false">AVERAGE(E144,F144)</f>
        <v>17000000</v>
      </c>
      <c r="H144" s="7" t="n">
        <f aca="false">E144/30</f>
        <v>400000</v>
      </c>
      <c r="I144" s="7" t="n">
        <f aca="false">F144/30</f>
        <v>733333.333333333</v>
      </c>
      <c r="J144" s="7" t="n">
        <f aca="false">AVERAGE(H144,I144)</f>
        <v>566666.666666667</v>
      </c>
      <c r="K144" s="7" t="n">
        <f aca="false">E144/230</f>
        <v>52173.9130434783</v>
      </c>
      <c r="L144" s="7" t="n">
        <f aca="false">F144/230</f>
        <v>95652.1739130435</v>
      </c>
      <c r="M144" s="7" t="n">
        <f aca="false">AVERAGE(K144,L144)</f>
        <v>73913.0434782609</v>
      </c>
      <c r="N144" s="5" t="s">
        <v>214</v>
      </c>
    </row>
    <row r="145" customFormat="false" ht="15" hidden="false" customHeight="false" outlineLevel="0" collapsed="false">
      <c r="A145" s="17" t="s">
        <v>206</v>
      </c>
      <c r="B145" s="9" t="s">
        <v>207</v>
      </c>
      <c r="C145" s="9" t="s">
        <v>29</v>
      </c>
      <c r="D145" s="10" t="s">
        <v>216</v>
      </c>
      <c r="E145" s="11" t="n">
        <v>10000000</v>
      </c>
      <c r="F145" s="11" t="n">
        <v>22000000</v>
      </c>
      <c r="G145" s="11" t="n">
        <f aca="false">AVERAGE(E145,F145)</f>
        <v>16000000</v>
      </c>
      <c r="H145" s="11" t="n">
        <f aca="false">E145/30</f>
        <v>333333.333333333</v>
      </c>
      <c r="I145" s="11" t="n">
        <f aca="false">F145/30</f>
        <v>733333.333333333</v>
      </c>
      <c r="J145" s="11" t="n">
        <f aca="false">AVERAGE(H145,I145)</f>
        <v>533333.333333333</v>
      </c>
      <c r="K145" s="11" t="n">
        <f aca="false">E145/230</f>
        <v>43478.2608695652</v>
      </c>
      <c r="L145" s="11" t="n">
        <f aca="false">F145/230</f>
        <v>95652.1739130435</v>
      </c>
      <c r="M145" s="11" t="n">
        <f aca="false">AVERAGE(K145,L145)</f>
        <v>69565.2173913044</v>
      </c>
      <c r="N145" s="9" t="s">
        <v>214</v>
      </c>
    </row>
    <row r="146" customFormat="false" ht="15" hidden="false" customHeight="false" outlineLevel="0" collapsed="false">
      <c r="A146" s="16" t="s">
        <v>206</v>
      </c>
      <c r="B146" s="5" t="s">
        <v>207</v>
      </c>
      <c r="C146" s="5" t="s">
        <v>29</v>
      </c>
      <c r="D146" s="6" t="s">
        <v>217</v>
      </c>
      <c r="E146" s="7" t="n">
        <v>12000000</v>
      </c>
      <c r="F146" s="7" t="n">
        <v>25000000</v>
      </c>
      <c r="G146" s="7" t="n">
        <f aca="false">AVERAGE(E146,F146)</f>
        <v>18500000</v>
      </c>
      <c r="H146" s="7" t="n">
        <f aca="false">E146/30</f>
        <v>400000</v>
      </c>
      <c r="I146" s="7" t="n">
        <f aca="false">F146/30</f>
        <v>833333.333333333</v>
      </c>
      <c r="J146" s="7" t="n">
        <f aca="false">AVERAGE(H146,I146)</f>
        <v>616666.666666667</v>
      </c>
      <c r="K146" s="7" t="n">
        <f aca="false">E146/230</f>
        <v>52173.9130434783</v>
      </c>
      <c r="L146" s="7" t="n">
        <f aca="false">F146/230</f>
        <v>108695.652173913</v>
      </c>
      <c r="M146" s="7" t="n">
        <f aca="false">AVERAGE(K146,L146)</f>
        <v>80434.7826086957</v>
      </c>
      <c r="N146" s="5" t="s">
        <v>214</v>
      </c>
    </row>
    <row r="147" customFormat="false" ht="15" hidden="false" customHeight="false" outlineLevel="0" collapsed="false">
      <c r="A147" s="17" t="s">
        <v>206</v>
      </c>
      <c r="B147" s="9" t="s">
        <v>207</v>
      </c>
      <c r="C147" s="9" t="s">
        <v>29</v>
      </c>
      <c r="D147" s="10" t="s">
        <v>218</v>
      </c>
      <c r="E147" s="11" t="n">
        <v>15000000</v>
      </c>
      <c r="F147" s="11" t="n">
        <v>30000000</v>
      </c>
      <c r="G147" s="11" t="n">
        <f aca="false">AVERAGE(E147,F147)</f>
        <v>22500000</v>
      </c>
      <c r="H147" s="11" t="n">
        <f aca="false">E147/30</f>
        <v>500000</v>
      </c>
      <c r="I147" s="11" t="n">
        <f aca="false">F147/30</f>
        <v>1000000</v>
      </c>
      <c r="J147" s="11" t="n">
        <f aca="false">AVERAGE(H147,I147)</f>
        <v>750000</v>
      </c>
      <c r="K147" s="11" t="n">
        <f aca="false">E147/230</f>
        <v>65217.3913043478</v>
      </c>
      <c r="L147" s="11" t="n">
        <f aca="false">F147/230</f>
        <v>130434.782608696</v>
      </c>
      <c r="M147" s="11" t="n">
        <f aca="false">AVERAGE(K147,L147)</f>
        <v>97826.0869565217</v>
      </c>
      <c r="N147" s="9" t="s">
        <v>214</v>
      </c>
    </row>
    <row r="148" customFormat="false" ht="15" hidden="false" customHeight="false" outlineLevel="0" collapsed="false">
      <c r="A148" s="16" t="s">
        <v>206</v>
      </c>
      <c r="B148" s="5" t="s">
        <v>207</v>
      </c>
      <c r="C148" s="5" t="s">
        <v>34</v>
      </c>
      <c r="D148" s="6" t="s">
        <v>219</v>
      </c>
      <c r="E148" s="7" t="n">
        <v>12000000</v>
      </c>
      <c r="F148" s="7" t="n">
        <v>28000000</v>
      </c>
      <c r="G148" s="7" t="n">
        <f aca="false">AVERAGE(E148,F148)</f>
        <v>20000000</v>
      </c>
      <c r="H148" s="7" t="n">
        <f aca="false">E148/30</f>
        <v>400000</v>
      </c>
      <c r="I148" s="7" t="n">
        <f aca="false">F148/30</f>
        <v>933333.333333333</v>
      </c>
      <c r="J148" s="7" t="n">
        <f aca="false">AVERAGE(H148,I148)</f>
        <v>666666.666666667</v>
      </c>
      <c r="K148" s="7" t="n">
        <f aca="false">E148/230</f>
        <v>52173.9130434783</v>
      </c>
      <c r="L148" s="7" t="n">
        <f aca="false">F148/230</f>
        <v>121739.130434783</v>
      </c>
      <c r="M148" s="7" t="n">
        <f aca="false">AVERAGE(K148,L148)</f>
        <v>86956.5217391304</v>
      </c>
      <c r="N148" s="5" t="s">
        <v>220</v>
      </c>
    </row>
    <row r="149" customFormat="false" ht="15" hidden="false" customHeight="false" outlineLevel="0" collapsed="false">
      <c r="A149" s="17" t="s">
        <v>206</v>
      </c>
      <c r="B149" s="9" t="s">
        <v>207</v>
      </c>
      <c r="C149" s="9" t="s">
        <v>34</v>
      </c>
      <c r="D149" s="10" t="s">
        <v>221</v>
      </c>
      <c r="E149" s="11" t="n">
        <v>15000000</v>
      </c>
      <c r="F149" s="11" t="n">
        <v>35000000</v>
      </c>
      <c r="G149" s="11" t="n">
        <f aca="false">AVERAGE(E149,F149)</f>
        <v>25000000</v>
      </c>
      <c r="H149" s="11" t="n">
        <f aca="false">E149/30</f>
        <v>500000</v>
      </c>
      <c r="I149" s="11" t="n">
        <f aca="false">F149/30</f>
        <v>1166666.66666667</v>
      </c>
      <c r="J149" s="11" t="n">
        <f aca="false">AVERAGE(H149,I149)</f>
        <v>833333.333333333</v>
      </c>
      <c r="K149" s="11" t="n">
        <f aca="false">E149/230</f>
        <v>65217.3913043478</v>
      </c>
      <c r="L149" s="11" t="n">
        <f aca="false">F149/230</f>
        <v>152173.913043478</v>
      </c>
      <c r="M149" s="11" t="n">
        <f aca="false">AVERAGE(K149,L149)</f>
        <v>108695.652173913</v>
      </c>
      <c r="N149" s="9" t="s">
        <v>214</v>
      </c>
    </row>
    <row r="150" customFormat="false" ht="15" hidden="false" customHeight="false" outlineLevel="0" collapsed="false">
      <c r="A150" s="16" t="s">
        <v>206</v>
      </c>
      <c r="B150" s="5" t="s">
        <v>207</v>
      </c>
      <c r="C150" s="5" t="s">
        <v>37</v>
      </c>
      <c r="D150" s="6" t="s">
        <v>222</v>
      </c>
      <c r="E150" s="7" t="n">
        <v>25000000</v>
      </c>
      <c r="F150" s="7" t="n">
        <v>70000000</v>
      </c>
      <c r="G150" s="7" t="n">
        <f aca="false">AVERAGE(E150,F150)</f>
        <v>47500000</v>
      </c>
      <c r="H150" s="7" t="n">
        <f aca="false">E150/30</f>
        <v>833333.333333333</v>
      </c>
      <c r="I150" s="7" t="n">
        <f aca="false">F150/30</f>
        <v>2333333.33333333</v>
      </c>
      <c r="J150" s="7" t="n">
        <f aca="false">AVERAGE(H150,I150)</f>
        <v>1583333.33333333</v>
      </c>
      <c r="K150" s="7" t="n">
        <f aca="false">E150/230</f>
        <v>108695.652173913</v>
      </c>
      <c r="L150" s="7" t="n">
        <f aca="false">F150/230</f>
        <v>304347.826086957</v>
      </c>
      <c r="M150" s="7" t="n">
        <f aca="false">AVERAGE(K150,L150)</f>
        <v>206521.739130435</v>
      </c>
      <c r="N150" s="5" t="s">
        <v>214</v>
      </c>
    </row>
    <row r="151" customFormat="false" ht="15" hidden="false" customHeight="false" outlineLevel="0" collapsed="false">
      <c r="A151" s="17" t="s">
        <v>206</v>
      </c>
      <c r="B151" s="9" t="s">
        <v>223</v>
      </c>
      <c r="C151" s="9" t="s">
        <v>23</v>
      </c>
      <c r="D151" s="10" t="s">
        <v>224</v>
      </c>
      <c r="E151" s="11" t="n">
        <v>2500000</v>
      </c>
      <c r="F151" s="11" t="n">
        <v>4500000</v>
      </c>
      <c r="G151" s="11" t="n">
        <f aca="false">AVERAGE(E151,F151)</f>
        <v>3500000</v>
      </c>
      <c r="H151" s="11" t="n">
        <f aca="false">E151/30</f>
        <v>83333.3333333333</v>
      </c>
      <c r="I151" s="11" t="n">
        <f aca="false">F151/30</f>
        <v>150000</v>
      </c>
      <c r="J151" s="11" t="n">
        <f aca="false">AVERAGE(H151,I151)</f>
        <v>116666.666666667</v>
      </c>
      <c r="K151" s="11" t="n">
        <f aca="false">E151/230</f>
        <v>10869.5652173913</v>
      </c>
      <c r="L151" s="11" t="n">
        <f aca="false">F151/230</f>
        <v>19565.2173913043</v>
      </c>
      <c r="M151" s="11" t="n">
        <f aca="false">AVERAGE(K151,L151)</f>
        <v>15217.3913043478</v>
      </c>
      <c r="N151" s="9" t="s">
        <v>28</v>
      </c>
    </row>
    <row r="152" customFormat="false" ht="15" hidden="false" customHeight="false" outlineLevel="0" collapsed="false">
      <c r="A152" s="16" t="s">
        <v>206</v>
      </c>
      <c r="B152" s="5" t="s">
        <v>223</v>
      </c>
      <c r="C152" s="5" t="s">
        <v>29</v>
      </c>
      <c r="D152" s="6" t="s">
        <v>225</v>
      </c>
      <c r="E152" s="7" t="n">
        <v>5000000</v>
      </c>
      <c r="F152" s="7" t="n">
        <v>12000000</v>
      </c>
      <c r="G152" s="7" t="n">
        <f aca="false">AVERAGE(E152,F152)</f>
        <v>8500000</v>
      </c>
      <c r="H152" s="7" t="n">
        <f aca="false">E152/30</f>
        <v>166666.666666667</v>
      </c>
      <c r="I152" s="7" t="n">
        <f aca="false">F152/30</f>
        <v>400000</v>
      </c>
      <c r="J152" s="7" t="n">
        <f aca="false">AVERAGE(H152,I152)</f>
        <v>283333.333333333</v>
      </c>
      <c r="K152" s="7" t="n">
        <f aca="false">E152/230</f>
        <v>21739.1304347826</v>
      </c>
      <c r="L152" s="7" t="n">
        <f aca="false">F152/230</f>
        <v>52173.9130434783</v>
      </c>
      <c r="M152" s="7" t="n">
        <f aca="false">AVERAGE(K152,L152)</f>
        <v>36956.5217391304</v>
      </c>
      <c r="N152" s="5" t="s">
        <v>33</v>
      </c>
    </row>
    <row r="153" customFormat="false" ht="15" hidden="false" customHeight="false" outlineLevel="0" collapsed="false">
      <c r="A153" s="17" t="s">
        <v>206</v>
      </c>
      <c r="B153" s="9" t="s">
        <v>223</v>
      </c>
      <c r="C153" s="9" t="s">
        <v>29</v>
      </c>
      <c r="D153" s="10" t="s">
        <v>226</v>
      </c>
      <c r="E153" s="11" t="n">
        <v>6000000</v>
      </c>
      <c r="F153" s="11" t="n">
        <v>14000000</v>
      </c>
      <c r="G153" s="11" t="n">
        <f aca="false">AVERAGE(E153,F153)</f>
        <v>10000000</v>
      </c>
      <c r="H153" s="11" t="n">
        <f aca="false">E153/30</f>
        <v>200000</v>
      </c>
      <c r="I153" s="11" t="n">
        <f aca="false">F153/30</f>
        <v>466666.666666667</v>
      </c>
      <c r="J153" s="11" t="n">
        <f aca="false">AVERAGE(H153,I153)</f>
        <v>333333.333333333</v>
      </c>
      <c r="K153" s="11" t="n">
        <f aca="false">E153/230</f>
        <v>26086.9565217391</v>
      </c>
      <c r="L153" s="11" t="n">
        <f aca="false">F153/230</f>
        <v>60869.5652173913</v>
      </c>
      <c r="M153" s="11" t="n">
        <f aca="false">AVERAGE(K153,L153)</f>
        <v>43478.2608695652</v>
      </c>
      <c r="N153" s="9" t="s">
        <v>33</v>
      </c>
    </row>
    <row r="154" customFormat="false" ht="15" hidden="false" customHeight="false" outlineLevel="0" collapsed="false">
      <c r="A154" s="16" t="s">
        <v>206</v>
      </c>
      <c r="B154" s="5" t="s">
        <v>223</v>
      </c>
      <c r="C154" s="5" t="s">
        <v>34</v>
      </c>
      <c r="D154" s="6" t="s">
        <v>227</v>
      </c>
      <c r="E154" s="7" t="n">
        <v>10000000</v>
      </c>
      <c r="F154" s="7" t="n">
        <v>25000000</v>
      </c>
      <c r="G154" s="7" t="n">
        <f aca="false">AVERAGE(E154,F154)</f>
        <v>17500000</v>
      </c>
      <c r="H154" s="7" t="n">
        <f aca="false">E154/30</f>
        <v>333333.333333333</v>
      </c>
      <c r="I154" s="7" t="n">
        <f aca="false">F154/30</f>
        <v>833333.333333333</v>
      </c>
      <c r="J154" s="7" t="n">
        <f aca="false">AVERAGE(H154,I154)</f>
        <v>583333.333333333</v>
      </c>
      <c r="K154" s="7" t="n">
        <f aca="false">E154/230</f>
        <v>43478.2608695652</v>
      </c>
      <c r="L154" s="7" t="n">
        <f aca="false">F154/230</f>
        <v>108695.652173913</v>
      </c>
      <c r="M154" s="7" t="n">
        <f aca="false">AVERAGE(K154,L154)</f>
        <v>76086.9565217391</v>
      </c>
      <c r="N154" s="5" t="s">
        <v>214</v>
      </c>
    </row>
    <row r="155" customFormat="false" ht="15" hidden="false" customHeight="false" outlineLevel="0" collapsed="false">
      <c r="A155" s="17" t="s">
        <v>206</v>
      </c>
      <c r="B155" s="9" t="s">
        <v>228</v>
      </c>
      <c r="C155" s="9" t="s">
        <v>23</v>
      </c>
      <c r="D155" s="10" t="s">
        <v>229</v>
      </c>
      <c r="E155" s="11" t="n">
        <v>2000000</v>
      </c>
      <c r="F155" s="11" t="n">
        <v>4000000</v>
      </c>
      <c r="G155" s="11" t="n">
        <f aca="false">AVERAGE(E155,F155)</f>
        <v>3000000</v>
      </c>
      <c r="H155" s="11" t="n">
        <f aca="false">E155/30</f>
        <v>66666.6666666667</v>
      </c>
      <c r="I155" s="11" t="n">
        <f aca="false">F155/30</f>
        <v>133333.333333333</v>
      </c>
      <c r="J155" s="11" t="n">
        <f aca="false">AVERAGE(H155,I155)</f>
        <v>100000</v>
      </c>
      <c r="K155" s="11" t="n">
        <f aca="false">E155/230</f>
        <v>8695.65217391304</v>
      </c>
      <c r="L155" s="11" t="n">
        <f aca="false">F155/230</f>
        <v>17391.3043478261</v>
      </c>
      <c r="M155" s="11" t="n">
        <f aca="false">AVERAGE(K155,L155)</f>
        <v>13043.4782608696</v>
      </c>
      <c r="N155" s="9" t="s">
        <v>230</v>
      </c>
    </row>
    <row r="156" customFormat="false" ht="15" hidden="false" customHeight="false" outlineLevel="0" collapsed="false">
      <c r="A156" s="16" t="s">
        <v>206</v>
      </c>
      <c r="B156" s="5" t="s">
        <v>228</v>
      </c>
      <c r="C156" s="5" t="s">
        <v>29</v>
      </c>
      <c r="D156" s="6" t="s">
        <v>231</v>
      </c>
      <c r="E156" s="7" t="n">
        <v>4000000</v>
      </c>
      <c r="F156" s="7" t="n">
        <v>8000000</v>
      </c>
      <c r="G156" s="7" t="n">
        <f aca="false">AVERAGE(E156,F156)</f>
        <v>6000000</v>
      </c>
      <c r="H156" s="7" t="n">
        <f aca="false">E156/30</f>
        <v>133333.333333333</v>
      </c>
      <c r="I156" s="7" t="n">
        <f aca="false">F156/30</f>
        <v>266666.666666667</v>
      </c>
      <c r="J156" s="7" t="n">
        <f aca="false">AVERAGE(H156,I156)</f>
        <v>200000</v>
      </c>
      <c r="K156" s="7" t="n">
        <f aca="false">E156/230</f>
        <v>17391.3043478261</v>
      </c>
      <c r="L156" s="7" t="n">
        <f aca="false">F156/230</f>
        <v>34782.6086956522</v>
      </c>
      <c r="M156" s="7" t="n">
        <f aca="false">AVERAGE(K156,L156)</f>
        <v>26086.9565217391</v>
      </c>
      <c r="N156" s="5" t="s">
        <v>230</v>
      </c>
    </row>
    <row r="157" customFormat="false" ht="15" hidden="false" customHeight="false" outlineLevel="0" collapsed="false">
      <c r="A157" s="17" t="s">
        <v>206</v>
      </c>
      <c r="B157" s="9" t="s">
        <v>228</v>
      </c>
      <c r="C157" s="9" t="s">
        <v>34</v>
      </c>
      <c r="D157" s="10" t="s">
        <v>232</v>
      </c>
      <c r="E157" s="11" t="n">
        <v>8000000</v>
      </c>
      <c r="F157" s="11" t="n">
        <v>18000000</v>
      </c>
      <c r="G157" s="11" t="n">
        <f aca="false">AVERAGE(E157,F157)</f>
        <v>13000000</v>
      </c>
      <c r="H157" s="11" t="n">
        <f aca="false">E157/30</f>
        <v>266666.666666667</v>
      </c>
      <c r="I157" s="11" t="n">
        <f aca="false">F157/30</f>
        <v>600000</v>
      </c>
      <c r="J157" s="11" t="n">
        <f aca="false">AVERAGE(H157,I157)</f>
        <v>433333.333333333</v>
      </c>
      <c r="K157" s="11" t="n">
        <f aca="false">E157/230</f>
        <v>34782.6086956522</v>
      </c>
      <c r="L157" s="11" t="n">
        <f aca="false">F157/230</f>
        <v>78260.8695652174</v>
      </c>
      <c r="M157" s="11" t="n">
        <f aca="false">AVERAGE(K157,L157)</f>
        <v>56521.7391304348</v>
      </c>
      <c r="N157" s="9" t="s">
        <v>230</v>
      </c>
    </row>
    <row r="158" customFormat="false" ht="15" hidden="false" customHeight="false" outlineLevel="0" collapsed="false">
      <c r="A158" s="16" t="s">
        <v>206</v>
      </c>
      <c r="B158" s="5" t="s">
        <v>228</v>
      </c>
      <c r="C158" s="5" t="s">
        <v>34</v>
      </c>
      <c r="D158" s="6" t="s">
        <v>233</v>
      </c>
      <c r="E158" s="7" t="n">
        <v>12000000</v>
      </c>
      <c r="F158" s="7" t="n">
        <v>28000000</v>
      </c>
      <c r="G158" s="7" t="n">
        <f aca="false">AVERAGE(E158,F158)</f>
        <v>20000000</v>
      </c>
      <c r="H158" s="7" t="n">
        <f aca="false">E158/30</f>
        <v>400000</v>
      </c>
      <c r="I158" s="7" t="n">
        <f aca="false">F158/30</f>
        <v>933333.333333333</v>
      </c>
      <c r="J158" s="7" t="n">
        <f aca="false">AVERAGE(H158,I158)</f>
        <v>666666.666666667</v>
      </c>
      <c r="K158" s="7" t="n">
        <f aca="false">E158/230</f>
        <v>52173.9130434783</v>
      </c>
      <c r="L158" s="7" t="n">
        <f aca="false">F158/230</f>
        <v>121739.130434783</v>
      </c>
      <c r="M158" s="7" t="n">
        <f aca="false">AVERAGE(K158,L158)</f>
        <v>86956.5217391304</v>
      </c>
      <c r="N158" s="5" t="s">
        <v>234</v>
      </c>
    </row>
    <row r="159" customFormat="false" ht="15" hidden="false" customHeight="false" outlineLevel="0" collapsed="false">
      <c r="A159" s="17" t="s">
        <v>206</v>
      </c>
      <c r="B159" s="9" t="s">
        <v>228</v>
      </c>
      <c r="C159" s="9" t="s">
        <v>37</v>
      </c>
      <c r="D159" s="10" t="s">
        <v>235</v>
      </c>
      <c r="E159" s="11" t="n">
        <v>18000000</v>
      </c>
      <c r="F159" s="11" t="n">
        <v>45000000</v>
      </c>
      <c r="G159" s="11" t="n">
        <f aca="false">AVERAGE(E159,F159)</f>
        <v>31500000</v>
      </c>
      <c r="H159" s="11" t="n">
        <f aca="false">E159/30</f>
        <v>600000</v>
      </c>
      <c r="I159" s="11" t="n">
        <f aca="false">F159/30</f>
        <v>1500000</v>
      </c>
      <c r="J159" s="11" t="n">
        <f aca="false">AVERAGE(H159,I159)</f>
        <v>1050000</v>
      </c>
      <c r="K159" s="11" t="n">
        <f aca="false">E159/230</f>
        <v>78260.8695652174</v>
      </c>
      <c r="L159" s="11" t="n">
        <f aca="false">F159/230</f>
        <v>195652.173913044</v>
      </c>
      <c r="M159" s="11" t="n">
        <f aca="false">AVERAGE(K159,L159)</f>
        <v>136956.52173913</v>
      </c>
      <c r="N159" s="9" t="s">
        <v>230</v>
      </c>
    </row>
    <row r="160" customFormat="false" ht="15" hidden="false" customHeight="false" outlineLevel="0" collapsed="false">
      <c r="A160" s="16" t="s">
        <v>206</v>
      </c>
      <c r="B160" s="5" t="s">
        <v>236</v>
      </c>
      <c r="C160" s="5" t="s">
        <v>29</v>
      </c>
      <c r="D160" s="6" t="s">
        <v>237</v>
      </c>
      <c r="E160" s="7" t="n">
        <v>4000000</v>
      </c>
      <c r="F160" s="7" t="n">
        <v>8000000</v>
      </c>
      <c r="G160" s="7" t="n">
        <f aca="false">AVERAGE(E160,F160)</f>
        <v>6000000</v>
      </c>
      <c r="H160" s="7" t="n">
        <f aca="false">E160/30</f>
        <v>133333.333333333</v>
      </c>
      <c r="I160" s="7" t="n">
        <f aca="false">F160/30</f>
        <v>266666.666666667</v>
      </c>
      <c r="J160" s="7" t="n">
        <f aca="false">AVERAGE(H160,I160)</f>
        <v>200000</v>
      </c>
      <c r="K160" s="7" t="n">
        <f aca="false">E160/230</f>
        <v>17391.3043478261</v>
      </c>
      <c r="L160" s="7" t="n">
        <f aca="false">F160/230</f>
        <v>34782.6086956522</v>
      </c>
      <c r="M160" s="7" t="n">
        <f aca="false">AVERAGE(K160,L160)</f>
        <v>26086.9565217391</v>
      </c>
      <c r="N160" s="5" t="s">
        <v>33</v>
      </c>
    </row>
    <row r="161" customFormat="false" ht="15" hidden="false" customHeight="false" outlineLevel="0" collapsed="false">
      <c r="A161" s="17" t="s">
        <v>206</v>
      </c>
      <c r="B161" s="9" t="s">
        <v>236</v>
      </c>
      <c r="C161" s="9" t="s">
        <v>29</v>
      </c>
      <c r="D161" s="10" t="s">
        <v>238</v>
      </c>
      <c r="E161" s="11" t="n">
        <v>9000000</v>
      </c>
      <c r="F161" s="11" t="n">
        <v>20000000</v>
      </c>
      <c r="G161" s="11" t="n">
        <f aca="false">AVERAGE(E161,F161)</f>
        <v>14500000</v>
      </c>
      <c r="H161" s="11" t="n">
        <f aca="false">E161/30</f>
        <v>300000</v>
      </c>
      <c r="I161" s="11" t="n">
        <f aca="false">F161/30</f>
        <v>666666.666666667</v>
      </c>
      <c r="J161" s="11" t="n">
        <f aca="false">AVERAGE(H161,I161)</f>
        <v>483333.333333333</v>
      </c>
      <c r="K161" s="11" t="n">
        <f aca="false">E161/230</f>
        <v>39130.4347826087</v>
      </c>
      <c r="L161" s="11" t="n">
        <f aca="false">F161/230</f>
        <v>86956.5217391304</v>
      </c>
      <c r="M161" s="11" t="n">
        <f aca="false">AVERAGE(K161,L161)</f>
        <v>63043.4782608696</v>
      </c>
      <c r="N161" s="9" t="s">
        <v>33</v>
      </c>
    </row>
    <row r="162" customFormat="false" ht="15" hidden="false" customHeight="false" outlineLevel="0" collapsed="false">
      <c r="A162" s="16" t="s">
        <v>206</v>
      </c>
      <c r="B162" s="5" t="s">
        <v>236</v>
      </c>
      <c r="C162" s="5" t="s">
        <v>34</v>
      </c>
      <c r="D162" s="6" t="s">
        <v>239</v>
      </c>
      <c r="E162" s="7" t="n">
        <v>12000000</v>
      </c>
      <c r="F162" s="7" t="n">
        <v>28000000</v>
      </c>
      <c r="G162" s="7" t="n">
        <f aca="false">AVERAGE(E162,F162)</f>
        <v>20000000</v>
      </c>
      <c r="H162" s="7" t="n">
        <f aca="false">E162/30</f>
        <v>400000</v>
      </c>
      <c r="I162" s="7" t="n">
        <f aca="false">F162/30</f>
        <v>933333.333333333</v>
      </c>
      <c r="J162" s="7" t="n">
        <f aca="false">AVERAGE(H162,I162)</f>
        <v>666666.666666667</v>
      </c>
      <c r="K162" s="7" t="n">
        <f aca="false">E162/230</f>
        <v>52173.9130434783</v>
      </c>
      <c r="L162" s="7" t="n">
        <f aca="false">F162/230</f>
        <v>121739.130434783</v>
      </c>
      <c r="M162" s="7" t="n">
        <f aca="false">AVERAGE(K162,L162)</f>
        <v>86956.5217391304</v>
      </c>
      <c r="N162" s="5" t="s">
        <v>240</v>
      </c>
    </row>
    <row r="163" customFormat="false" ht="15" hidden="false" customHeight="false" outlineLevel="0" collapsed="false">
      <c r="A163" s="17" t="s">
        <v>206</v>
      </c>
      <c r="B163" s="9" t="s">
        <v>236</v>
      </c>
      <c r="C163" s="9" t="s">
        <v>37</v>
      </c>
      <c r="D163" s="10" t="s">
        <v>241</v>
      </c>
      <c r="E163" s="11" t="n">
        <v>25000000</v>
      </c>
      <c r="F163" s="11" t="n">
        <v>80000000</v>
      </c>
      <c r="G163" s="11" t="n">
        <f aca="false">AVERAGE(E163,F163)</f>
        <v>52500000</v>
      </c>
      <c r="H163" s="11" t="n">
        <f aca="false">E163/30</f>
        <v>833333.333333333</v>
      </c>
      <c r="I163" s="11" t="n">
        <f aca="false">F163/30</f>
        <v>2666666.66666667</v>
      </c>
      <c r="J163" s="11" t="n">
        <f aca="false">AVERAGE(H163,I163)</f>
        <v>1750000</v>
      </c>
      <c r="K163" s="11" t="n">
        <f aca="false">E163/230</f>
        <v>108695.652173913</v>
      </c>
      <c r="L163" s="11" t="n">
        <f aca="false">F163/230</f>
        <v>347826.086956522</v>
      </c>
      <c r="M163" s="11" t="n">
        <f aca="false">AVERAGE(K163,L163)</f>
        <v>228260.869565217</v>
      </c>
      <c r="N163" s="9" t="s">
        <v>33</v>
      </c>
    </row>
    <row r="164" customFormat="false" ht="15" hidden="false" customHeight="false" outlineLevel="0" collapsed="false">
      <c r="A164" s="16" t="s">
        <v>206</v>
      </c>
      <c r="B164" s="5" t="s">
        <v>242</v>
      </c>
      <c r="C164" s="5" t="s">
        <v>29</v>
      </c>
      <c r="D164" s="6" t="s">
        <v>243</v>
      </c>
      <c r="E164" s="7" t="n">
        <v>6000000</v>
      </c>
      <c r="F164" s="7" t="n">
        <v>14000000</v>
      </c>
      <c r="G164" s="7" t="n">
        <f aca="false">AVERAGE(E164,F164)</f>
        <v>10000000</v>
      </c>
      <c r="H164" s="7" t="n">
        <f aca="false">E164/30</f>
        <v>200000</v>
      </c>
      <c r="I164" s="7" t="n">
        <f aca="false">F164/30</f>
        <v>466666.666666667</v>
      </c>
      <c r="J164" s="7" t="n">
        <f aca="false">AVERAGE(H164,I164)</f>
        <v>333333.333333333</v>
      </c>
      <c r="K164" s="7" t="n">
        <f aca="false">E164/230</f>
        <v>26086.9565217391</v>
      </c>
      <c r="L164" s="7" t="n">
        <f aca="false">F164/230</f>
        <v>60869.5652173913</v>
      </c>
      <c r="M164" s="7" t="n">
        <f aca="false">AVERAGE(K164,L164)</f>
        <v>43478.2608695652</v>
      </c>
      <c r="N164" s="5" t="s">
        <v>244</v>
      </c>
    </row>
    <row r="165" customFormat="false" ht="15" hidden="false" customHeight="false" outlineLevel="0" collapsed="false">
      <c r="A165" s="17" t="s">
        <v>206</v>
      </c>
      <c r="B165" s="9" t="s">
        <v>242</v>
      </c>
      <c r="C165" s="9" t="s">
        <v>29</v>
      </c>
      <c r="D165" s="10" t="s">
        <v>245</v>
      </c>
      <c r="E165" s="11" t="n">
        <v>10000000</v>
      </c>
      <c r="F165" s="11" t="n">
        <v>25000000</v>
      </c>
      <c r="G165" s="11" t="n">
        <f aca="false">AVERAGE(E165,F165)</f>
        <v>17500000</v>
      </c>
      <c r="H165" s="11" t="n">
        <f aca="false">E165/30</f>
        <v>333333.333333333</v>
      </c>
      <c r="I165" s="11" t="n">
        <f aca="false">F165/30</f>
        <v>833333.333333333</v>
      </c>
      <c r="J165" s="11" t="n">
        <f aca="false">AVERAGE(H165,I165)</f>
        <v>583333.333333333</v>
      </c>
      <c r="K165" s="11" t="n">
        <f aca="false">E165/230</f>
        <v>43478.2608695652</v>
      </c>
      <c r="L165" s="11" t="n">
        <f aca="false">F165/230</f>
        <v>108695.652173913</v>
      </c>
      <c r="M165" s="11" t="n">
        <f aca="false">AVERAGE(K165,L165)</f>
        <v>76086.9565217391</v>
      </c>
      <c r="N165" s="9" t="s">
        <v>214</v>
      </c>
    </row>
    <row r="166" customFormat="false" ht="15" hidden="false" customHeight="false" outlineLevel="0" collapsed="false">
      <c r="A166" s="16" t="s">
        <v>206</v>
      </c>
      <c r="B166" s="5" t="s">
        <v>242</v>
      </c>
      <c r="C166" s="5" t="s">
        <v>34</v>
      </c>
      <c r="D166" s="6" t="s">
        <v>246</v>
      </c>
      <c r="E166" s="7" t="n">
        <v>12000000</v>
      </c>
      <c r="F166" s="7" t="n">
        <v>30000000</v>
      </c>
      <c r="G166" s="7" t="n">
        <f aca="false">AVERAGE(E166,F166)</f>
        <v>21000000</v>
      </c>
      <c r="H166" s="7" t="n">
        <f aca="false">E166/30</f>
        <v>400000</v>
      </c>
      <c r="I166" s="7" t="n">
        <f aca="false">F166/30</f>
        <v>1000000</v>
      </c>
      <c r="J166" s="7" t="n">
        <f aca="false">AVERAGE(H166,I166)</f>
        <v>700000</v>
      </c>
      <c r="K166" s="7" t="n">
        <f aca="false">E166/230</f>
        <v>52173.9130434783</v>
      </c>
      <c r="L166" s="7" t="n">
        <f aca="false">F166/230</f>
        <v>130434.782608696</v>
      </c>
      <c r="M166" s="7" t="n">
        <f aca="false">AVERAGE(K166,L166)</f>
        <v>91304.347826087</v>
      </c>
      <c r="N166" s="5" t="s">
        <v>247</v>
      </c>
    </row>
    <row r="167" customFormat="false" ht="15" hidden="false" customHeight="false" outlineLevel="0" collapsed="false">
      <c r="A167" s="17" t="s">
        <v>206</v>
      </c>
      <c r="B167" s="9" t="s">
        <v>242</v>
      </c>
      <c r="C167" s="9" t="s">
        <v>37</v>
      </c>
      <c r="D167" s="10" t="s">
        <v>248</v>
      </c>
      <c r="E167" s="11" t="n">
        <v>20000000</v>
      </c>
      <c r="F167" s="11" t="n">
        <v>55000000</v>
      </c>
      <c r="G167" s="11" t="n">
        <f aca="false">AVERAGE(E167,F167)</f>
        <v>37500000</v>
      </c>
      <c r="H167" s="11" t="n">
        <f aca="false">E167/30</f>
        <v>666666.666666667</v>
      </c>
      <c r="I167" s="11" t="n">
        <f aca="false">F167/30</f>
        <v>1833333.33333333</v>
      </c>
      <c r="J167" s="11" t="n">
        <f aca="false">AVERAGE(H167,I167)</f>
        <v>1250000</v>
      </c>
      <c r="K167" s="11" t="n">
        <f aca="false">E167/230</f>
        <v>86956.5217391304</v>
      </c>
      <c r="L167" s="11" t="n">
        <f aca="false">F167/230</f>
        <v>239130.434782609</v>
      </c>
      <c r="M167" s="11" t="n">
        <f aca="false">AVERAGE(K167,L167)</f>
        <v>163043.47826087</v>
      </c>
      <c r="N167" s="9" t="s">
        <v>214</v>
      </c>
    </row>
    <row r="168" customFormat="false" ht="15" hidden="false" customHeight="false" outlineLevel="0" collapsed="false">
      <c r="A168" s="16" t="s">
        <v>206</v>
      </c>
      <c r="B168" s="5" t="s">
        <v>249</v>
      </c>
      <c r="C168" s="5" t="s">
        <v>29</v>
      </c>
      <c r="D168" s="6" t="s">
        <v>250</v>
      </c>
      <c r="E168" s="7" t="n">
        <v>3500000</v>
      </c>
      <c r="F168" s="7" t="n">
        <v>6000000</v>
      </c>
      <c r="G168" s="7" t="n">
        <f aca="false">AVERAGE(E168,F168)</f>
        <v>4750000</v>
      </c>
      <c r="H168" s="7" t="n">
        <f aca="false">E168/30</f>
        <v>116666.666666667</v>
      </c>
      <c r="I168" s="7" t="n">
        <f aca="false">F168/30</f>
        <v>200000</v>
      </c>
      <c r="J168" s="7" t="n">
        <f aca="false">AVERAGE(H168,I168)</f>
        <v>158333.333333333</v>
      </c>
      <c r="K168" s="7" t="n">
        <f aca="false">E168/230</f>
        <v>15217.3913043478</v>
      </c>
      <c r="L168" s="7" t="n">
        <f aca="false">F168/230</f>
        <v>26086.9565217391</v>
      </c>
      <c r="M168" s="7" t="n">
        <f aca="false">AVERAGE(K168,L168)</f>
        <v>20652.1739130435</v>
      </c>
      <c r="N168" s="5" t="s">
        <v>251</v>
      </c>
    </row>
    <row r="169" customFormat="false" ht="15" hidden="false" customHeight="false" outlineLevel="0" collapsed="false">
      <c r="A169" s="17" t="s">
        <v>206</v>
      </c>
      <c r="B169" s="9" t="s">
        <v>249</v>
      </c>
      <c r="C169" s="9" t="s">
        <v>29</v>
      </c>
      <c r="D169" s="10" t="s">
        <v>252</v>
      </c>
      <c r="E169" s="11" t="n">
        <v>8000000</v>
      </c>
      <c r="F169" s="11" t="n">
        <v>18000000</v>
      </c>
      <c r="G169" s="11" t="n">
        <f aca="false">AVERAGE(E169,F169)</f>
        <v>13000000</v>
      </c>
      <c r="H169" s="11" t="n">
        <f aca="false">E169/30</f>
        <v>266666.666666667</v>
      </c>
      <c r="I169" s="11" t="n">
        <f aca="false">F169/30</f>
        <v>600000</v>
      </c>
      <c r="J169" s="11" t="n">
        <f aca="false">AVERAGE(H169,I169)</f>
        <v>433333.333333333</v>
      </c>
      <c r="K169" s="11" t="n">
        <f aca="false">E169/230</f>
        <v>34782.6086956522</v>
      </c>
      <c r="L169" s="11" t="n">
        <f aca="false">F169/230</f>
        <v>78260.8695652174</v>
      </c>
      <c r="M169" s="11" t="n">
        <f aca="false">AVERAGE(K169,L169)</f>
        <v>56521.7391304348</v>
      </c>
      <c r="N169" s="9" t="s">
        <v>214</v>
      </c>
    </row>
    <row r="170" customFormat="false" ht="15" hidden="false" customHeight="false" outlineLevel="0" collapsed="false">
      <c r="A170" s="16" t="s">
        <v>206</v>
      </c>
      <c r="B170" s="5" t="s">
        <v>249</v>
      </c>
      <c r="C170" s="5" t="s">
        <v>34</v>
      </c>
      <c r="D170" s="6" t="s">
        <v>253</v>
      </c>
      <c r="E170" s="7" t="n">
        <v>10000000</v>
      </c>
      <c r="F170" s="7" t="n">
        <v>25000000</v>
      </c>
      <c r="G170" s="7" t="n">
        <f aca="false">AVERAGE(E170,F170)</f>
        <v>17500000</v>
      </c>
      <c r="H170" s="7" t="n">
        <f aca="false">E170/30</f>
        <v>333333.333333333</v>
      </c>
      <c r="I170" s="7" t="n">
        <f aca="false">F170/30</f>
        <v>833333.333333333</v>
      </c>
      <c r="J170" s="7" t="n">
        <f aca="false">AVERAGE(H170,I170)</f>
        <v>583333.333333333</v>
      </c>
      <c r="K170" s="7" t="n">
        <f aca="false">E170/230</f>
        <v>43478.2608695652</v>
      </c>
      <c r="L170" s="7" t="n">
        <f aca="false">F170/230</f>
        <v>108695.652173913</v>
      </c>
      <c r="M170" s="7" t="n">
        <f aca="false">AVERAGE(K170,L170)</f>
        <v>76086.9565217391</v>
      </c>
      <c r="N170" s="5" t="s">
        <v>214</v>
      </c>
    </row>
  </sheetData>
  <autoFilter ref="A3:N170"/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7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8" min="6" style="0" width="18"/>
  </cols>
  <sheetData>
    <row r="1" customFormat="false" ht="27.75" hidden="false" customHeight="true" outlineLevel="0" collapsed="false">
      <c r="A1" s="18" t="s">
        <v>254</v>
      </c>
      <c r="B1" s="18"/>
      <c r="C1" s="18"/>
      <c r="D1" s="18"/>
      <c r="E1" s="18"/>
      <c r="F1" s="18"/>
      <c r="G1" s="18"/>
      <c r="H1" s="18"/>
    </row>
    <row r="2" customFormat="false" ht="36" hidden="false" customHeight="true" outlineLevel="0" collapsed="false">
      <c r="A2" s="3" t="s">
        <v>2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  <c r="H2" s="3" t="s">
        <v>261</v>
      </c>
    </row>
    <row r="3" customFormat="false" ht="23.85" hidden="false" customHeight="false" outlineLevel="0" collapsed="false">
      <c r="A3" s="19" t="s">
        <v>16</v>
      </c>
      <c r="B3" s="20" t="n">
        <v>33</v>
      </c>
      <c r="C3" s="21" t="n">
        <v>4658106</v>
      </c>
      <c r="D3" s="21" t="n">
        <v>9715151</v>
      </c>
      <c r="E3" s="21" t="n">
        <v>7186628</v>
      </c>
      <c r="F3" s="21" t="n">
        <f aca="false">E3/30</f>
        <v>239554.266666667</v>
      </c>
      <c r="G3" s="21" t="n">
        <f aca="false">E3/230</f>
        <v>31246.2086956522</v>
      </c>
      <c r="H3" s="20" t="s">
        <v>262</v>
      </c>
    </row>
    <row r="4" customFormat="false" ht="35.05" hidden="false" customHeight="false" outlineLevel="0" collapsed="false">
      <c r="A4" s="22" t="s">
        <v>69</v>
      </c>
      <c r="B4" s="23" t="n">
        <v>37</v>
      </c>
      <c r="C4" s="24" t="n">
        <v>3889027</v>
      </c>
      <c r="D4" s="24" t="n">
        <v>8372972</v>
      </c>
      <c r="E4" s="24" t="n">
        <v>6130999</v>
      </c>
      <c r="F4" s="24" t="n">
        <f aca="false">E4/30</f>
        <v>204366.633333333</v>
      </c>
      <c r="G4" s="24" t="n">
        <f aca="false">E4/230</f>
        <v>26656.5173913043</v>
      </c>
      <c r="H4" s="23" t="s">
        <v>263</v>
      </c>
    </row>
    <row r="5" customFormat="false" ht="15" hidden="false" customHeight="false" outlineLevel="0" collapsed="false">
      <c r="A5" s="25" t="s">
        <v>116</v>
      </c>
      <c r="B5" s="20" t="n">
        <v>66</v>
      </c>
      <c r="C5" s="21" t="n">
        <v>4892151</v>
      </c>
      <c r="D5" s="21" t="n">
        <v>11146969</v>
      </c>
      <c r="E5" s="21" t="n">
        <v>8019560</v>
      </c>
      <c r="F5" s="21" t="n">
        <f aca="false">E5/30</f>
        <v>267318.666666667</v>
      </c>
      <c r="G5" s="21" t="n">
        <f aca="false">E5/230</f>
        <v>34867.652173913</v>
      </c>
      <c r="H5" s="20" t="s">
        <v>264</v>
      </c>
    </row>
    <row r="6" customFormat="false" ht="35.05" hidden="false" customHeight="false" outlineLevel="0" collapsed="false">
      <c r="A6" s="26" t="s">
        <v>206</v>
      </c>
      <c r="B6" s="23" t="n">
        <v>31</v>
      </c>
      <c r="C6" s="24" t="n">
        <v>9770967</v>
      </c>
      <c r="D6" s="24" t="n">
        <v>23403225</v>
      </c>
      <c r="E6" s="24" t="n">
        <v>16587096</v>
      </c>
      <c r="F6" s="24" t="n">
        <f aca="false">E6/30</f>
        <v>552903.2</v>
      </c>
      <c r="G6" s="24" t="n">
        <f aca="false">E6/230</f>
        <v>72117.8086956522</v>
      </c>
      <c r="H6" s="23" t="s">
        <v>265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25.5" hidden="false" customHeight="true" outlineLevel="0" collapsed="false">
      <c r="A1" s="27" t="s">
        <v>266</v>
      </c>
      <c r="B1" s="27"/>
      <c r="C1" s="27"/>
      <c r="D1" s="27"/>
    </row>
    <row r="2" customFormat="false" ht="15" hidden="false" customHeight="false" outlineLevel="0" collapsed="false">
      <c r="A2" s="3" t="s">
        <v>267</v>
      </c>
      <c r="B2" s="3" t="s">
        <v>268</v>
      </c>
      <c r="C2" s="3" t="s">
        <v>269</v>
      </c>
      <c r="D2" s="3" t="s">
        <v>270</v>
      </c>
    </row>
    <row r="3" customFormat="false" ht="15" hidden="false" customHeight="false" outlineLevel="0" collapsed="false">
      <c r="A3" s="20" t="n">
        <v>2020</v>
      </c>
      <c r="B3" s="21" t="n">
        <v>877803</v>
      </c>
      <c r="C3" s="21" t="n">
        <v>102854</v>
      </c>
      <c r="D3" s="20" t="s">
        <v>271</v>
      </c>
    </row>
    <row r="4" customFormat="false" ht="15" hidden="false" customHeight="false" outlineLevel="0" collapsed="false">
      <c r="A4" s="23" t="n">
        <v>2021</v>
      </c>
      <c r="B4" s="24" t="n">
        <v>908526</v>
      </c>
      <c r="C4" s="24" t="n">
        <v>106454</v>
      </c>
      <c r="D4" s="23" t="s">
        <v>272</v>
      </c>
    </row>
    <row r="5" customFormat="false" ht="15" hidden="false" customHeight="false" outlineLevel="0" collapsed="false">
      <c r="A5" s="20" t="n">
        <v>2022</v>
      </c>
      <c r="B5" s="21" t="n">
        <v>1000000</v>
      </c>
      <c r="C5" s="21" t="n">
        <v>117172</v>
      </c>
      <c r="D5" s="20" t="s">
        <v>273</v>
      </c>
    </row>
    <row r="6" customFormat="false" ht="15" hidden="false" customHeight="false" outlineLevel="0" collapsed="false">
      <c r="A6" s="23" t="n">
        <v>2023</v>
      </c>
      <c r="B6" s="24" t="n">
        <v>1160000</v>
      </c>
      <c r="C6" s="24" t="n">
        <v>140606</v>
      </c>
      <c r="D6" s="23" t="s">
        <v>274</v>
      </c>
    </row>
    <row r="7" customFormat="false" ht="15" hidden="false" customHeight="false" outlineLevel="0" collapsed="false">
      <c r="A7" s="20" t="n">
        <v>2024</v>
      </c>
      <c r="B7" s="21" t="n">
        <v>1300000</v>
      </c>
      <c r="C7" s="21" t="n">
        <v>162000</v>
      </c>
      <c r="D7" s="20" t="s">
        <v>275</v>
      </c>
    </row>
    <row r="8" customFormat="false" ht="15" hidden="false" customHeight="false" outlineLevel="0" collapsed="false">
      <c r="A8" s="28" t="n">
        <v>2025</v>
      </c>
      <c r="B8" s="29" t="n">
        <v>1423500</v>
      </c>
      <c r="C8" s="29" t="n">
        <v>202000</v>
      </c>
      <c r="D8" s="28" t="s">
        <v>276</v>
      </c>
    </row>
    <row r="10" customFormat="false" ht="15" hidden="false" customHeight="true" outlineLevel="0" collapsed="false">
      <c r="A10" s="30" t="s">
        <v>277</v>
      </c>
      <c r="B10" s="30"/>
      <c r="C10" s="30"/>
      <c r="D10" s="30"/>
    </row>
    <row r="11" customFormat="false" ht="23.85" hidden="false" customHeight="true" outlineLevel="0" collapsed="false">
      <c r="A11" s="31" t="s">
        <v>278</v>
      </c>
      <c r="B11" s="32" t="n">
        <v>30</v>
      </c>
      <c r="C11" s="33" t="s">
        <v>279</v>
      </c>
      <c r="D11" s="33"/>
    </row>
    <row r="12" customFormat="false" ht="23.85" hidden="false" customHeight="true" outlineLevel="0" collapsed="false">
      <c r="A12" s="31" t="s">
        <v>280</v>
      </c>
      <c r="B12" s="32" t="n">
        <v>230</v>
      </c>
      <c r="C12" s="33" t="s">
        <v>281</v>
      </c>
      <c r="D12" s="33"/>
    </row>
    <row r="13" customFormat="false" ht="23.85" hidden="false" customHeight="true" outlineLevel="0" collapsed="false">
      <c r="A13" s="31" t="s">
        <v>282</v>
      </c>
      <c r="B13" s="32" t="n">
        <v>46</v>
      </c>
      <c r="C13" s="33" t="s">
        <v>283</v>
      </c>
      <c r="D13" s="33"/>
    </row>
  </sheetData>
  <mergeCells count="5">
    <mergeCell ref="A1:D1"/>
    <mergeCell ref="A10:D10"/>
    <mergeCell ref="C11:D11"/>
    <mergeCell ref="C12:D12"/>
    <mergeCell ref="C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35"/>
  </cols>
  <sheetData>
    <row r="1" customFormat="false" ht="25.5" hidden="false" customHeight="true" outlineLevel="0" collapsed="false">
      <c r="A1" s="27" t="s">
        <v>284</v>
      </c>
      <c r="B1" s="27"/>
      <c r="C1" s="27"/>
    </row>
    <row r="2" customFormat="false" ht="15" hidden="false" customHeight="false" outlineLevel="0" collapsed="false">
      <c r="A2" s="34" t="s">
        <v>285</v>
      </c>
      <c r="B2" s="34" t="s">
        <v>286</v>
      </c>
      <c r="C2" s="34" t="s">
        <v>287</v>
      </c>
    </row>
    <row r="3" customFormat="false" ht="15" hidden="false" customHeight="false" outlineLevel="0" collapsed="false">
      <c r="A3" s="10" t="s">
        <v>18</v>
      </c>
      <c r="B3" s="9" t="s">
        <v>288</v>
      </c>
      <c r="C3" s="9" t="s">
        <v>289</v>
      </c>
    </row>
    <row r="4" customFormat="false" ht="15" hidden="false" customHeight="false" outlineLevel="0" collapsed="false">
      <c r="A4" s="6" t="s">
        <v>23</v>
      </c>
      <c r="B4" s="5" t="s">
        <v>290</v>
      </c>
      <c r="C4" s="5" t="s">
        <v>291</v>
      </c>
    </row>
    <row r="5" customFormat="false" ht="15" hidden="false" customHeight="false" outlineLevel="0" collapsed="false">
      <c r="A5" s="10" t="s">
        <v>29</v>
      </c>
      <c r="B5" s="9" t="s">
        <v>292</v>
      </c>
      <c r="C5" s="9" t="s">
        <v>293</v>
      </c>
    </row>
    <row r="6" customFormat="false" ht="15" hidden="false" customHeight="false" outlineLevel="0" collapsed="false">
      <c r="A6" s="6" t="s">
        <v>34</v>
      </c>
      <c r="B6" s="5" t="s">
        <v>294</v>
      </c>
      <c r="C6" s="5" t="s">
        <v>295</v>
      </c>
    </row>
    <row r="7" customFormat="false" ht="15" hidden="false" customHeight="false" outlineLevel="0" collapsed="false">
      <c r="A7" s="10" t="s">
        <v>37</v>
      </c>
      <c r="B7" s="9" t="s">
        <v>296</v>
      </c>
      <c r="C7" s="9" t="s">
        <v>297</v>
      </c>
    </row>
    <row r="8" customFormat="false" ht="15" hidden="false" customHeight="false" outlineLevel="0" collapsed="false">
      <c r="A8" s="35"/>
      <c r="B8" s="5"/>
      <c r="C8" s="5"/>
    </row>
    <row r="9" customFormat="false" ht="15" hidden="false" customHeight="false" outlineLevel="0" collapsed="false">
      <c r="A9" s="10" t="s">
        <v>15</v>
      </c>
      <c r="B9" s="9" t="s">
        <v>286</v>
      </c>
      <c r="C9" s="9"/>
    </row>
    <row r="10" customFormat="false" ht="15" hidden="false" customHeight="false" outlineLevel="0" collapsed="false">
      <c r="A10" s="6" t="s">
        <v>298</v>
      </c>
      <c r="B10" s="5" t="s">
        <v>299</v>
      </c>
      <c r="C10" s="5"/>
    </row>
    <row r="11" customFormat="false" ht="15" hidden="false" customHeight="false" outlineLevel="0" collapsed="false">
      <c r="A11" s="10" t="s">
        <v>300</v>
      </c>
      <c r="B11" s="9" t="s">
        <v>301</v>
      </c>
      <c r="C11" s="9"/>
    </row>
    <row r="12" customFormat="false" ht="15" hidden="false" customHeight="false" outlineLevel="0" collapsed="false">
      <c r="A12" s="6" t="s">
        <v>302</v>
      </c>
      <c r="B12" s="5" t="s">
        <v>303</v>
      </c>
      <c r="C12" s="5"/>
    </row>
    <row r="13" customFormat="false" ht="15" hidden="false" customHeight="false" outlineLevel="0" collapsed="false">
      <c r="A13" s="10" t="s">
        <v>304</v>
      </c>
      <c r="B13" s="9" t="s">
        <v>305</v>
      </c>
      <c r="C13" s="9"/>
    </row>
    <row r="14" customFormat="false" ht="15" hidden="false" customHeight="false" outlineLevel="0" collapsed="false">
      <c r="A14" s="6" t="s">
        <v>306</v>
      </c>
      <c r="B14" s="5" t="s">
        <v>307</v>
      </c>
      <c r="C14" s="5"/>
    </row>
    <row r="15" customFormat="false" ht="15" hidden="false" customHeight="false" outlineLevel="0" collapsed="false">
      <c r="A15" s="10" t="s">
        <v>308</v>
      </c>
      <c r="B15" s="9" t="s">
        <v>309</v>
      </c>
      <c r="C15" s="9"/>
    </row>
    <row r="16" customFormat="false" ht="15" hidden="false" customHeight="false" outlineLevel="0" collapsed="false">
      <c r="A16" s="6" t="s">
        <v>310</v>
      </c>
      <c r="B16" s="5" t="s">
        <v>311</v>
      </c>
      <c r="C16" s="5"/>
    </row>
    <row r="17" customFormat="false" ht="15" hidden="false" customHeight="false" outlineLevel="0" collapsed="false">
      <c r="A17" s="10" t="s">
        <v>312</v>
      </c>
      <c r="B17" s="9" t="s">
        <v>313</v>
      </c>
      <c r="C17" s="9"/>
    </row>
    <row r="18" customFormat="false" ht="15" hidden="false" customHeight="false" outlineLevel="0" collapsed="false">
      <c r="A18" s="6" t="s">
        <v>314</v>
      </c>
      <c r="B18" s="5" t="s">
        <v>315</v>
      </c>
      <c r="C18" s="5"/>
    </row>
    <row r="19" customFormat="false" ht="15" hidden="false" customHeight="false" outlineLevel="0" collapsed="false">
      <c r="A19" s="10" t="s">
        <v>316</v>
      </c>
      <c r="B19" s="9" t="s">
        <v>317</v>
      </c>
      <c r="C19" s="9"/>
    </row>
    <row r="20" customFormat="false" ht="15" hidden="false" customHeight="false" outlineLevel="0" collapsed="false">
      <c r="A20" s="6" t="s">
        <v>318</v>
      </c>
      <c r="B20" s="5" t="s">
        <v>319</v>
      </c>
      <c r="C20" s="5"/>
    </row>
    <row r="21" customFormat="false" ht="15" hidden="false" customHeight="false" outlineLevel="0" collapsed="false">
      <c r="A21" s="10" t="s">
        <v>320</v>
      </c>
      <c r="B21" s="9" t="s">
        <v>321</v>
      </c>
      <c r="C21" s="9"/>
    </row>
    <row r="22" customFormat="false" ht="15" hidden="false" customHeight="false" outlineLevel="0" collapsed="false">
      <c r="A22" s="6" t="s">
        <v>322</v>
      </c>
      <c r="B22" s="5" t="s">
        <v>323</v>
      </c>
      <c r="C22" s="5"/>
    </row>
    <row r="23" customFormat="false" ht="15" hidden="false" customHeight="false" outlineLevel="0" collapsed="false">
      <c r="A23" s="10" t="s">
        <v>324</v>
      </c>
      <c r="B23" s="9" t="s">
        <v>325</v>
      </c>
      <c r="C23" s="9"/>
    </row>
    <row r="24" customFormat="false" ht="15" hidden="false" customHeight="false" outlineLevel="0" collapsed="false">
      <c r="A24" s="6" t="s">
        <v>326</v>
      </c>
      <c r="B24" s="5" t="s">
        <v>327</v>
      </c>
      <c r="C24" s="5"/>
    </row>
    <row r="25" customFormat="false" ht="15" hidden="false" customHeight="false" outlineLevel="0" collapsed="false">
      <c r="A25" s="10" t="s">
        <v>328</v>
      </c>
      <c r="B25" s="9" t="s">
        <v>329</v>
      </c>
      <c r="C25" s="9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2026-04-20T22:10:39Z</dcterms:created>
  <dc:creator>openpyxl</dc:creator>
  <dc:description/>
  <dc:language>en-US</dc:language>
  <cp:lastModifiedBy/>
  <dcterms:modified xsi:type="dcterms:W3CDTF">2026-04-20T22:10:39Z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